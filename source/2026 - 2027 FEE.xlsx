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998A3863-9ED8-4454-BA7B-5CEED79806C7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ACCOUNT'!$A$1:$AE$134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3" i="14" l="1"/>
  <c r="K133" i="14"/>
  <c r="L133" i="14"/>
  <c r="M133" i="14"/>
  <c r="N133" i="14"/>
  <c r="O135" i="14"/>
  <c r="P135" i="14"/>
  <c r="Q135" i="14"/>
  <c r="R135" i="14"/>
  <c r="S135" i="14"/>
  <c r="T135" i="14"/>
  <c r="U135" i="14"/>
  <c r="V135" i="14"/>
  <c r="W135" i="14"/>
  <c r="X135" i="14"/>
  <c r="Y135" i="14"/>
  <c r="AF135" i="14"/>
  <c r="AA135" i="14"/>
  <c r="J53" i="14"/>
  <c r="K53" i="14"/>
  <c r="L53" i="14"/>
  <c r="M53" i="14"/>
  <c r="N53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1" i="14"/>
  <c r="K71" i="14"/>
  <c r="L71" i="14"/>
  <c r="M71" i="14"/>
  <c r="N71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6" i="14"/>
  <c r="K86" i="14"/>
  <c r="L86" i="14"/>
  <c r="M86" i="14"/>
  <c r="N86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2" i="14"/>
  <c r="K92" i="14"/>
  <c r="L92" i="14"/>
  <c r="M92" i="14"/>
  <c r="N92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1" i="14"/>
  <c r="K101" i="14"/>
  <c r="L101" i="14"/>
  <c r="M101" i="14"/>
  <c r="N101" i="14"/>
  <c r="J102" i="14"/>
  <c r="K102" i="14"/>
  <c r="L102" i="14"/>
  <c r="M102" i="14"/>
  <c r="N102" i="14"/>
  <c r="J103" i="14"/>
  <c r="K103" i="14"/>
  <c r="L103" i="14"/>
  <c r="M103" i="14"/>
  <c r="N103" i="14"/>
  <c r="Z103" i="14" s="1"/>
  <c r="AB103" i="14" s="1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J108" i="14"/>
  <c r="K108" i="14"/>
  <c r="L108" i="14"/>
  <c r="M108" i="14"/>
  <c r="N108" i="14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5" i="14"/>
  <c r="K115" i="14"/>
  <c r="L115" i="14"/>
  <c r="M115" i="14"/>
  <c r="N115" i="14"/>
  <c r="J116" i="14"/>
  <c r="K116" i="14"/>
  <c r="L116" i="14"/>
  <c r="M116" i="14"/>
  <c r="N116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4" i="14"/>
  <c r="K134" i="14"/>
  <c r="L134" i="14"/>
  <c r="M134" i="14"/>
  <c r="N134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1" i="14"/>
  <c r="K41" i="14"/>
  <c r="L41" i="14"/>
  <c r="M41" i="14"/>
  <c r="N41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F1" i="13"/>
  <c r="J2" i="14"/>
  <c r="J135" i="14" s="1"/>
  <c r="K2" i="14"/>
  <c r="K135" i="14" s="1"/>
  <c r="L2" i="14"/>
  <c r="M2" i="14"/>
  <c r="N2" i="14"/>
  <c r="B15" i="12"/>
  <c r="B9" i="12"/>
  <c r="B3" i="12"/>
  <c r="Z133" i="14" l="1"/>
  <c r="AB133" i="14" s="1"/>
  <c r="AC133" i="14" s="1"/>
  <c r="M135" i="14"/>
  <c r="L135" i="14"/>
  <c r="N135" i="14"/>
  <c r="Z45" i="14"/>
  <c r="AB45" i="14" s="1"/>
  <c r="Z54" i="14"/>
  <c r="AB54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AE70" i="14" s="1"/>
  <c r="Z71" i="14"/>
  <c r="AB71" i="14" s="1"/>
  <c r="Z72" i="14"/>
  <c r="AB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6" i="14"/>
  <c r="AB86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4" i="14"/>
  <c r="AB94" i="14" s="1"/>
  <c r="Z95" i="14"/>
  <c r="AB95" i="14" s="1"/>
  <c r="Z96" i="14"/>
  <c r="AB96" i="14" s="1"/>
  <c r="Z97" i="14"/>
  <c r="AB97" i="14" s="1"/>
  <c r="Z98" i="14"/>
  <c r="AB98" i="14" s="1"/>
  <c r="Z99" i="14"/>
  <c r="AB99" i="14" s="1"/>
  <c r="Z100" i="14"/>
  <c r="AB100" i="14" s="1"/>
  <c r="Z101" i="14"/>
  <c r="AB101" i="14" s="1"/>
  <c r="Z102" i="14"/>
  <c r="AB102" i="14" s="1"/>
  <c r="Z115" i="14"/>
  <c r="AB115" i="14" s="1"/>
  <c r="Z119" i="14"/>
  <c r="AB119" i="14" s="1"/>
  <c r="Z120" i="14"/>
  <c r="AB120" i="14" s="1"/>
  <c r="Z122" i="14"/>
  <c r="AB122" i="14" s="1"/>
  <c r="Z124" i="14"/>
  <c r="AB124" i="14" s="1"/>
  <c r="Z127" i="14"/>
  <c r="AB127" i="14" s="1"/>
  <c r="Z129" i="14"/>
  <c r="AB129" i="14" s="1"/>
  <c r="Z131" i="14"/>
  <c r="AB131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1" i="14"/>
  <c r="AB41" i="14" s="1"/>
  <c r="Z42" i="14"/>
  <c r="AB42" i="14" s="1"/>
  <c r="Z104" i="14"/>
  <c r="AB104" i="14" s="1"/>
  <c r="Z105" i="14"/>
  <c r="AB105" i="14" s="1"/>
  <c r="Z106" i="14"/>
  <c r="AB106" i="14" s="1"/>
  <c r="Z107" i="14"/>
  <c r="AB107" i="14" s="1"/>
  <c r="Z108" i="14"/>
  <c r="AB108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6" i="14"/>
  <c r="AB116" i="14" s="1"/>
  <c r="Z117" i="14"/>
  <c r="AB117" i="14" s="1"/>
  <c r="Z121" i="14"/>
  <c r="AB121" i="14" s="1"/>
  <c r="Z123" i="14"/>
  <c r="AB123" i="14" s="1"/>
  <c r="Z125" i="14"/>
  <c r="AB125" i="14" s="1"/>
  <c r="Z126" i="14"/>
  <c r="AB126" i="14" s="1"/>
  <c r="Z128" i="14"/>
  <c r="AB128" i="14" s="1"/>
  <c r="Z130" i="14"/>
  <c r="AB130" i="14" s="1"/>
  <c r="Z132" i="14"/>
  <c r="AB132" i="14" s="1"/>
  <c r="Z134" i="14"/>
  <c r="AB134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3" i="14"/>
  <c r="AB43" i="14" s="1"/>
  <c r="Z44" i="14"/>
  <c r="AB44" i="14" s="1"/>
  <c r="Z46" i="14"/>
  <c r="AB46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92" i="14"/>
  <c r="AB92" i="14" s="1"/>
  <c r="Z93" i="14"/>
  <c r="AB93" i="14" s="1"/>
  <c r="Z118" i="14"/>
  <c r="AB118" i="14" s="1"/>
  <c r="Z53" i="14"/>
  <c r="AB53" i="14" s="1"/>
  <c r="AE91" i="14"/>
  <c r="AD91" i="14"/>
  <c r="AC91" i="14"/>
  <c r="Z2" i="14"/>
  <c r="AD133" i="14" l="1"/>
  <c r="AE133" i="14"/>
  <c r="AB2" i="14"/>
  <c r="AB135" i="14" s="1"/>
  <c r="Z135" i="14"/>
  <c r="AD61" i="14"/>
  <c r="AE61" i="14"/>
  <c r="AC61" i="14"/>
  <c r="AE83" i="14"/>
  <c r="AD83" i="14"/>
  <c r="AC83" i="14"/>
  <c r="AC70" i="14"/>
  <c r="AD70" i="14"/>
  <c r="AC11" i="14"/>
  <c r="AD11" i="14"/>
  <c r="AE11" i="14"/>
  <c r="AE19" i="14"/>
  <c r="AD19" i="14"/>
  <c r="AC19" i="14"/>
  <c r="AD34" i="14"/>
  <c r="AC34" i="14"/>
  <c r="AE34" i="14"/>
  <c r="AC92" i="14"/>
  <c r="AE92" i="14"/>
  <c r="AD92" i="14"/>
  <c r="AC118" i="14"/>
  <c r="AD118" i="14"/>
  <c r="AE118" i="14"/>
  <c r="AC53" i="14"/>
  <c r="AD53" i="14"/>
  <c r="AE53" i="14"/>
  <c r="AC93" i="14"/>
  <c r="AD93" i="14"/>
  <c r="AE93" i="14"/>
  <c r="AC60" i="14"/>
  <c r="AD60" i="14"/>
  <c r="AE60" i="14"/>
  <c r="AC129" i="14"/>
  <c r="AD129" i="14"/>
  <c r="AE129" i="14"/>
  <c r="AC35" i="14"/>
  <c r="AE35" i="14"/>
  <c r="AD35" i="14"/>
  <c r="AD41" i="14"/>
  <c r="AE41" i="14"/>
  <c r="AC41" i="14"/>
  <c r="AC65" i="14"/>
  <c r="AD65" i="14"/>
  <c r="AE65" i="14"/>
  <c r="AE49" i="14"/>
  <c r="AD49" i="14"/>
  <c r="AC49" i="14"/>
  <c r="AC116" i="14"/>
  <c r="AD116" i="14"/>
  <c r="AE116" i="14"/>
  <c r="AD84" i="14"/>
  <c r="AC84" i="14"/>
  <c r="AE84" i="14"/>
  <c r="AD3" i="14"/>
  <c r="AE3" i="14"/>
  <c r="AC3" i="14"/>
  <c r="AC7" i="14"/>
  <c r="AD7" i="14"/>
  <c r="AE7" i="14"/>
  <c r="AC43" i="14"/>
  <c r="AD43" i="14"/>
  <c r="AE43" i="14"/>
  <c r="AD9" i="14"/>
  <c r="AC9" i="14"/>
  <c r="AE9" i="14"/>
  <c r="AE76" i="14"/>
  <c r="AD76" i="14"/>
  <c r="AC76" i="14"/>
  <c r="AD62" i="14"/>
  <c r="AE62" i="14"/>
  <c r="AC62" i="14"/>
  <c r="AE127" i="14"/>
  <c r="AD127" i="14"/>
  <c r="AC127" i="14"/>
  <c r="AE110" i="14"/>
  <c r="AD110" i="14"/>
  <c r="AC110" i="14"/>
  <c r="AE74" i="14"/>
  <c r="AD74" i="14"/>
  <c r="AC74" i="14"/>
  <c r="AE87" i="14"/>
  <c r="AD87" i="14"/>
  <c r="AC87" i="14"/>
  <c r="AC97" i="14"/>
  <c r="AD97" i="14"/>
  <c r="AE97" i="14"/>
  <c r="AC120" i="14"/>
  <c r="AD120" i="14"/>
  <c r="AE120" i="14"/>
  <c r="AE85" i="14"/>
  <c r="AD85" i="14"/>
  <c r="AC85" i="14"/>
  <c r="AC108" i="14"/>
  <c r="AD108" i="14"/>
  <c r="AE108" i="14"/>
  <c r="AC117" i="14"/>
  <c r="AD117" i="14"/>
  <c r="AE117" i="14"/>
  <c r="AE71" i="14"/>
  <c r="AC71" i="14"/>
  <c r="AD71" i="14"/>
  <c r="AC66" i="14"/>
  <c r="AD66" i="14"/>
  <c r="AE66" i="14"/>
  <c r="AC56" i="14"/>
  <c r="AE56" i="14"/>
  <c r="AD56" i="14"/>
  <c r="AC50" i="14"/>
  <c r="AD50" i="14"/>
  <c r="AE50" i="14"/>
  <c r="AE46" i="14"/>
  <c r="AD46" i="14"/>
  <c r="AC46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7" i="14"/>
  <c r="AE77" i="14"/>
  <c r="AC77" i="14"/>
  <c r="AE104" i="14"/>
  <c r="AD104" i="14"/>
  <c r="AC104" i="14"/>
  <c r="AC124" i="14"/>
  <c r="AE124" i="14"/>
  <c r="AD124" i="14"/>
  <c r="AD134" i="14"/>
  <c r="AC134" i="14"/>
  <c r="AE134" i="14"/>
  <c r="AE20" i="14"/>
  <c r="AC20" i="14"/>
  <c r="AD20" i="14"/>
  <c r="AE36" i="14"/>
  <c r="AD36" i="14"/>
  <c r="AC36" i="14"/>
  <c r="AE73" i="14"/>
  <c r="AD73" i="14"/>
  <c r="AC73" i="14"/>
  <c r="AC94" i="14"/>
  <c r="AE94" i="14"/>
  <c r="AD94" i="14"/>
  <c r="AE106" i="14"/>
  <c r="AD106" i="14"/>
  <c r="AC106" i="14"/>
  <c r="AE122" i="14"/>
  <c r="AD122" i="14"/>
  <c r="AC122" i="14"/>
  <c r="AE5" i="14"/>
  <c r="AD5" i="14"/>
  <c r="AC5" i="14"/>
  <c r="AE100" i="14"/>
  <c r="AD100" i="14"/>
  <c r="AC100" i="14"/>
  <c r="AD4" i="14"/>
  <c r="AE4" i="14"/>
  <c r="AC4" i="14"/>
  <c r="AC82" i="14"/>
  <c r="AD82" i="14"/>
  <c r="AE82" i="14"/>
  <c r="AE101" i="14"/>
  <c r="AD101" i="14"/>
  <c r="AC101" i="14"/>
  <c r="AC131" i="14"/>
  <c r="AD131" i="14"/>
  <c r="AE131" i="14"/>
  <c r="AE114" i="14"/>
  <c r="AD114" i="14"/>
  <c r="AC114" i="14"/>
  <c r="AE107" i="14"/>
  <c r="AD107" i="14"/>
  <c r="AC107" i="14"/>
  <c r="AE102" i="14"/>
  <c r="AD102" i="14"/>
  <c r="AC102" i="14"/>
  <c r="AE95" i="14"/>
  <c r="AD95" i="14"/>
  <c r="AC95" i="14"/>
  <c r="AC89" i="14"/>
  <c r="AD89" i="14"/>
  <c r="AE89" i="14"/>
  <c r="AD79" i="14"/>
  <c r="AE79" i="14"/>
  <c r="AC79" i="14"/>
  <c r="AE72" i="14"/>
  <c r="AD72" i="14"/>
  <c r="AC72" i="14"/>
  <c r="AC44" i="14"/>
  <c r="AE44" i="14"/>
  <c r="AD44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3" i="14"/>
  <c r="AD63" i="14"/>
  <c r="AC63" i="14"/>
  <c r="AE128" i="14"/>
  <c r="AD128" i="14"/>
  <c r="AC128" i="14"/>
  <c r="AE121" i="14"/>
  <c r="AD121" i="14"/>
  <c r="AC121" i="14"/>
  <c r="AD111" i="14"/>
  <c r="AE111" i="14"/>
  <c r="AC111" i="14"/>
  <c r="AE68" i="14"/>
  <c r="AC68" i="14"/>
  <c r="AD68" i="14"/>
  <c r="AE58" i="14"/>
  <c r="AC58" i="14"/>
  <c r="AD58" i="14"/>
  <c r="AD48" i="14"/>
  <c r="AC48" i="14"/>
  <c r="AE48" i="14"/>
  <c r="AD40" i="14"/>
  <c r="AE40" i="14"/>
  <c r="AC40" i="14"/>
  <c r="AE33" i="14"/>
  <c r="AC33" i="14"/>
  <c r="AD33" i="14"/>
  <c r="AD25" i="14"/>
  <c r="AC25" i="14"/>
  <c r="AE25" i="14"/>
  <c r="AE81" i="14"/>
  <c r="AC81" i="14"/>
  <c r="AD81" i="14"/>
  <c r="AD8" i="14"/>
  <c r="AE8" i="14"/>
  <c r="AC8" i="14"/>
  <c r="AE99" i="14"/>
  <c r="AC99" i="14"/>
  <c r="AD99" i="14"/>
  <c r="AE78" i="14"/>
  <c r="AD78" i="14"/>
  <c r="AC78" i="14"/>
  <c r="AE90" i="14"/>
  <c r="AD90" i="14"/>
  <c r="AC90" i="14"/>
  <c r="AE42" i="14"/>
  <c r="AD42" i="14"/>
  <c r="AC42" i="14"/>
  <c r="AC59" i="14"/>
  <c r="AD59" i="14"/>
  <c r="AE59" i="14"/>
  <c r="AD69" i="14"/>
  <c r="AE69" i="14"/>
  <c r="AC69" i="14"/>
  <c r="AE109" i="14"/>
  <c r="AD109" i="14"/>
  <c r="AC109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7" i="14"/>
  <c r="AC47" i="14"/>
  <c r="AD47" i="14"/>
  <c r="AE67" i="14"/>
  <c r="AD67" i="14"/>
  <c r="AC67" i="14"/>
  <c r="AC75" i="14"/>
  <c r="AD75" i="14"/>
  <c r="AE75" i="14"/>
  <c r="AC17" i="14"/>
  <c r="AE17" i="14"/>
  <c r="AD17" i="14"/>
  <c r="AE26" i="14"/>
  <c r="AD26" i="14"/>
  <c r="AC26" i="14"/>
  <c r="AD126" i="14"/>
  <c r="AC126" i="14"/>
  <c r="AE126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5" i="14"/>
  <c r="AD45" i="14"/>
  <c r="AC45" i="14"/>
  <c r="AC55" i="14"/>
  <c r="AD55" i="14"/>
  <c r="AE55" i="14"/>
  <c r="AD64" i="14"/>
  <c r="AC64" i="14"/>
  <c r="AE64" i="14"/>
  <c r="AD80" i="14"/>
  <c r="AC80" i="14"/>
  <c r="AE80" i="14"/>
  <c r="AE98" i="14"/>
  <c r="AC98" i="14"/>
  <c r="AD98" i="14"/>
  <c r="AC115" i="14"/>
  <c r="AD115" i="14"/>
  <c r="AE115" i="14"/>
  <c r="AC125" i="14"/>
  <c r="AD125" i="14"/>
  <c r="AE125" i="14"/>
  <c r="AC132" i="14"/>
  <c r="AE132" i="14"/>
  <c r="AD132" i="14"/>
  <c r="AD86" i="14"/>
  <c r="AC86" i="14"/>
  <c r="AE86" i="14"/>
  <c r="AD103" i="14"/>
  <c r="AE103" i="14"/>
  <c r="AC103" i="14"/>
  <c r="AC105" i="14"/>
  <c r="AD105" i="14"/>
  <c r="AE105" i="14"/>
  <c r="AD123" i="14"/>
  <c r="AE123" i="14"/>
  <c r="AC123" i="14"/>
  <c r="AE130" i="14"/>
  <c r="AD130" i="14"/>
  <c r="AC130" i="14"/>
  <c r="AC51" i="14"/>
  <c r="AD51" i="14"/>
  <c r="AE51" i="14"/>
  <c r="AC119" i="14"/>
  <c r="AD119" i="14"/>
  <c r="AE119" i="14"/>
  <c r="AD27" i="14"/>
  <c r="AE27" i="14"/>
  <c r="AC27" i="14"/>
  <c r="AD96" i="14"/>
  <c r="AC96" i="14"/>
  <c r="AE96" i="14"/>
  <c r="AD88" i="14"/>
  <c r="AC88" i="14"/>
  <c r="AE88" i="14"/>
  <c r="AC113" i="14"/>
  <c r="AD113" i="14"/>
  <c r="AE113" i="14"/>
  <c r="AD112" i="14"/>
  <c r="AC112" i="14"/>
  <c r="AE112" i="14"/>
  <c r="AE16" i="14"/>
  <c r="AD16" i="14"/>
  <c r="AC16" i="14"/>
  <c r="AE2" i="14"/>
  <c r="AC2" i="14"/>
  <c r="AD2" i="14"/>
  <c r="AC57" i="14" l="1"/>
  <c r="AD57" i="14"/>
  <c r="AE57" i="14"/>
  <c r="AC52" i="14"/>
  <c r="AC135" i="14" s="1"/>
  <c r="AD52" i="14"/>
  <c r="AD135" i="14" s="1"/>
  <c r="AE52" i="14"/>
  <c r="AE135" i="14" s="1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<sst xmlns="http://schemas.openxmlformats.org/spreadsheetml/2006/main" count="764" uniqueCount="370">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</sst>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3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Z133" sqref="Z133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30000</v>
      </c>
      <c r="AB2" s="20">
        <f t="shared" ref="AB2:AB33" si="6">Z2-AA2</f>
        <v>21180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30000</v>
      </c>
      <c r="AB3" s="20">
        <f t="shared" si="6"/>
        <v>42355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19500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44430</v>
      </c>
      <c r="AA7" s="24">
        <v>20000</v>
      </c>
      <c r="AB7" s="20">
        <f t="shared" si="6"/>
        <v>24430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30000</v>
      </c>
      <c r="AB8" s="20">
        <f t="shared" si="6"/>
        <v>20190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20000</v>
      </c>
      <c r="AB9" s="20">
        <f t="shared" si="6"/>
        <v>24280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20000</v>
      </c>
      <c r="AB10" s="20">
        <f t="shared" si="6"/>
        <v>49290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 t="shared" si="0"/>
        <v>2000</v>
      </c>
      <c r="K11" s="24">
        <f t="shared" si="1"/>
        <v>28000</v>
      </c>
      <c r="L11" s="24">
        <f t="shared" si="2"/>
        <v>4000</v>
      </c>
      <c r="M11" s="24">
        <f t="shared" si="3"/>
        <v>2500</v>
      </c>
      <c r="N11" s="24">
        <f t="shared" si="4"/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 t="shared" si="5"/>
        <v>113040</v>
      </c>
      <c r="AA11" s="24">
        <v>90000</v>
      </c>
      <c r="AB11" s="20">
        <f t="shared" si="6"/>
        <v>23040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 t="shared" si="0"/>
        <v>0</v>
      </c>
      <c r="K12" s="24">
        <f t="shared" si="1"/>
        <v>24750</v>
      </c>
      <c r="L12" s="24">
        <f t="shared" si="2"/>
        <v>5000</v>
      </c>
      <c r="M12" s="24">
        <f t="shared" si="3"/>
        <v>1500</v>
      </c>
      <c r="N12" s="24">
        <f t="shared" si="4"/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 t="shared" si="5"/>
        <v>78330</v>
      </c>
      <c r="AA12" s="24">
        <v>0</v>
      </c>
      <c r="AB12" s="20">
        <f t="shared" si="6"/>
        <v>78330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 t="shared" si="0"/>
        <v>0</v>
      </c>
      <c r="K13" s="24">
        <f t="shared" si="1"/>
        <v>30000</v>
      </c>
      <c r="L13" s="24">
        <f t="shared" si="2"/>
        <v>5000</v>
      </c>
      <c r="M13" s="24">
        <f t="shared" si="3"/>
        <v>1500</v>
      </c>
      <c r="N13" s="24">
        <f t="shared" si="4"/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 t="shared" si="5"/>
        <v>97250</v>
      </c>
      <c r="AA13" s="24">
        <v>0</v>
      </c>
      <c r="AB13" s="20">
        <f t="shared" si="6"/>
        <v>97250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 t="shared" si="0"/>
        <v>0</v>
      </c>
      <c r="K14" s="24">
        <f t="shared" si="1"/>
        <v>13000</v>
      </c>
      <c r="L14" s="24">
        <f t="shared" si="2"/>
        <v>4000</v>
      </c>
      <c r="M14" s="24">
        <f t="shared" si="3"/>
        <v>0</v>
      </c>
      <c r="N14" s="24">
        <f t="shared" si="4"/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 t="shared" si="5"/>
        <v>52660</v>
      </c>
      <c r="AA14" s="24">
        <v>0</v>
      </c>
      <c r="AB14" s="20">
        <f t="shared" si="6"/>
        <v>52660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 t="shared" si="0"/>
        <v>0</v>
      </c>
      <c r="K15" s="24">
        <f t="shared" si="1"/>
        <v>14000</v>
      </c>
      <c r="L15" s="24">
        <f t="shared" si="2"/>
        <v>4000</v>
      </c>
      <c r="M15" s="24">
        <f t="shared" si="3"/>
        <v>0</v>
      </c>
      <c r="N15" s="24">
        <f t="shared" si="4"/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 t="shared" si="5"/>
        <v>60510</v>
      </c>
      <c r="AA15" s="24">
        <v>0</v>
      </c>
      <c r="AB15" s="20">
        <f t="shared" si="6"/>
        <v>60510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 t="shared" si="0"/>
        <v>0</v>
      </c>
      <c r="K16" s="24">
        <f t="shared" si="1"/>
        <v>24700</v>
      </c>
      <c r="L16" s="24">
        <f t="shared" si="2"/>
        <v>4000</v>
      </c>
      <c r="M16" s="24">
        <f t="shared" si="3"/>
        <v>950</v>
      </c>
      <c r="N16" s="24">
        <f t="shared" si="4"/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 t="shared" si="5"/>
        <v>40790</v>
      </c>
      <c r="AA16" s="24">
        <v>42140</v>
      </c>
      <c r="AB16" s="20">
        <f t="shared" si="6"/>
        <v>-1350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 t="shared" si="0"/>
        <v>0</v>
      </c>
      <c r="K17" s="24">
        <f t="shared" si="1"/>
        <v>19500</v>
      </c>
      <c r="L17" s="24">
        <f t="shared" si="2"/>
        <v>4000</v>
      </c>
      <c r="M17" s="24">
        <f t="shared" si="3"/>
        <v>0</v>
      </c>
      <c r="N17" s="24">
        <f t="shared" si="4"/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59160</v>
      </c>
      <c r="AA17" s="24">
        <v>40000</v>
      </c>
      <c r="AB17" s="20">
        <f t="shared" si="6"/>
        <v>19160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 t="shared" si="0"/>
        <v>0</v>
      </c>
      <c r="K18" s="24">
        <f t="shared" si="1"/>
        <v>21000</v>
      </c>
      <c r="L18" s="24">
        <f t="shared" si="2"/>
        <v>4000</v>
      </c>
      <c r="M18" s="24">
        <f t="shared" si="3"/>
        <v>0</v>
      </c>
      <c r="N18" s="24">
        <f t="shared" si="4"/>
        <v>3750</v>
      </c>
      <c r="O18" s="24">
        <v>27310</v>
      </c>
      <c r="P18" s="24">
        <v>13230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69290</v>
      </c>
      <c r="AA18" s="24">
        <v>40000</v>
      </c>
      <c r="AB18" s="20">
        <f t="shared" si="6"/>
        <v>29290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 t="shared" si="0"/>
        <v>3000</v>
      </c>
      <c r="K19" s="24">
        <f t="shared" si="1"/>
        <v>40000</v>
      </c>
      <c r="L19" s="24">
        <f t="shared" si="2"/>
        <v>5000</v>
      </c>
      <c r="M19" s="24">
        <f t="shared" si="3"/>
        <v>2000</v>
      </c>
      <c r="N19" s="24">
        <f t="shared" si="4"/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120210</v>
      </c>
      <c r="AA19" s="24">
        <v>120210</v>
      </c>
      <c r="AB19" s="20">
        <f t="shared" si="6"/>
        <v>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 t="shared" si="0"/>
        <v>0</v>
      </c>
      <c r="K20" s="24">
        <f t="shared" si="1"/>
        <v>18200</v>
      </c>
      <c r="L20" s="24">
        <f t="shared" si="2"/>
        <v>4000</v>
      </c>
      <c r="M20" s="24">
        <f t="shared" si="3"/>
        <v>700</v>
      </c>
      <c r="N20" s="24">
        <f t="shared" si="4"/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42930</v>
      </c>
      <c r="AA20" s="24">
        <v>42930</v>
      </c>
      <c r="AB20" s="20">
        <f t="shared" si="6"/>
        <v>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 t="shared" si="0"/>
        <v>0</v>
      </c>
      <c r="K21" s="24">
        <f t="shared" si="1"/>
        <v>19600</v>
      </c>
      <c r="L21" s="24">
        <f t="shared" si="2"/>
        <v>4000</v>
      </c>
      <c r="M21" s="24">
        <f t="shared" si="3"/>
        <v>1750</v>
      </c>
      <c r="N21" s="24">
        <f t="shared" si="4"/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72150</v>
      </c>
      <c r="AA21" s="24">
        <v>72150</v>
      </c>
      <c r="AB21" s="20">
        <f t="shared" si="6"/>
        <v>0</v>
      </c>
      <c r="AC21" s="24">
        <f t="shared" si="7"/>
        <v>6000</v>
      </c>
      <c r="AD21" s="24" t="str">
        <f t="shared" si="8"/>
        <v/>
      </c>
      <c r="AE21" s="24" t="str">
        <f t="shared" si="9"/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 t="shared" si="0"/>
        <v>0</v>
      </c>
      <c r="K22" s="24">
        <f t="shared" si="1"/>
        <v>21000</v>
      </c>
      <c r="L22" s="24">
        <f t="shared" si="2"/>
        <v>4000</v>
      </c>
      <c r="M22" s="24">
        <f t="shared" si="3"/>
        <v>0</v>
      </c>
      <c r="N22" s="24">
        <f t="shared" si="4"/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76770</v>
      </c>
      <c r="AA22" s="24">
        <v>37535</v>
      </c>
      <c r="AB22" s="20">
        <f t="shared" si="6"/>
        <v>39235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 t="shared" si="0"/>
        <v>0</v>
      </c>
      <c r="K23" s="24">
        <f t="shared" si="1"/>
        <v>16500</v>
      </c>
      <c r="L23" s="24">
        <f t="shared" si="2"/>
        <v>5000</v>
      </c>
      <c r="M23" s="24">
        <f t="shared" si="3"/>
        <v>1000</v>
      </c>
      <c r="N23" s="24">
        <f t="shared" si="4"/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62230</v>
      </c>
      <c r="AA23" s="24">
        <v>0</v>
      </c>
      <c r="AB23" s="20">
        <f t="shared" si="6"/>
        <v>62230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 t="shared" si="0"/>
        <v>0</v>
      </c>
      <c r="K24" s="24">
        <f t="shared" si="1"/>
        <v>23100</v>
      </c>
      <c r="L24" s="24">
        <f t="shared" si="2"/>
        <v>5000</v>
      </c>
      <c r="M24" s="24">
        <f t="shared" si="3"/>
        <v>1400</v>
      </c>
      <c r="N24" s="24">
        <f t="shared" si="4"/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67530</v>
      </c>
      <c r="AA24" s="24">
        <v>0</v>
      </c>
      <c r="AB24" s="20">
        <f t="shared" si="6"/>
        <v>67530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 t="shared" si="0"/>
        <v>0</v>
      </c>
      <c r="K25" s="24">
        <f t="shared" si="1"/>
        <v>21000</v>
      </c>
      <c r="L25" s="24">
        <f t="shared" si="2"/>
        <v>4000</v>
      </c>
      <c r="M25" s="24">
        <f t="shared" si="3"/>
        <v>0</v>
      </c>
      <c r="N25" s="24">
        <f t="shared" si="4"/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66230</v>
      </c>
      <c r="AA25" s="24">
        <v>0</v>
      </c>
      <c r="AB25" s="20">
        <f t="shared" si="6"/>
        <v>66230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 t="shared" si="0"/>
        <v>0</v>
      </c>
      <c r="K26" s="24">
        <f t="shared" si="1"/>
        <v>21000</v>
      </c>
      <c r="L26" s="24">
        <f t="shared" si="2"/>
        <v>4000</v>
      </c>
      <c r="M26" s="24">
        <f t="shared" si="3"/>
        <v>0</v>
      </c>
      <c r="N26" s="24">
        <f t="shared" si="4"/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66230</v>
      </c>
      <c r="AA26" s="24">
        <v>0</v>
      </c>
      <c r="AB26" s="20">
        <f t="shared" si="6"/>
        <v>66230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 t="shared" si="0"/>
        <v>0</v>
      </c>
      <c r="K27" s="24">
        <f t="shared" si="1"/>
        <v>33000</v>
      </c>
      <c r="L27" s="24">
        <f t="shared" si="2"/>
        <v>5000</v>
      </c>
      <c r="M27" s="24">
        <f t="shared" si="3"/>
        <v>2000</v>
      </c>
      <c r="N27" s="24">
        <f t="shared" si="4"/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 t="shared" si="5"/>
        <v>79830</v>
      </c>
      <c r="AA27" s="24">
        <v>60000</v>
      </c>
      <c r="AB27" s="20">
        <f t="shared" si="6"/>
        <v>19830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 t="shared" si="0"/>
        <v>0</v>
      </c>
      <c r="K28" s="24">
        <f t="shared" si="1"/>
        <v>14849.999999999998</v>
      </c>
      <c r="L28" s="24">
        <f t="shared" si="2"/>
        <v>5000</v>
      </c>
      <c r="M28" s="24">
        <f t="shared" si="3"/>
        <v>899.99999999999989</v>
      </c>
      <c r="N28" s="24">
        <f t="shared" si="4"/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60180</v>
      </c>
      <c r="AA28" s="24">
        <v>62230</v>
      </c>
      <c r="AB28" s="20">
        <f t="shared" si="6"/>
        <v>-2050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6000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 t="shared" si="5"/>
        <v>56630</v>
      </c>
      <c r="AA29" s="24">
        <v>0</v>
      </c>
      <c r="AB29" s="20">
        <f t="shared" si="6"/>
        <v>56630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 t="shared" si="0"/>
        <v>0</v>
      </c>
      <c r="K30" s="24">
        <f t="shared" si="1"/>
        <v>26000</v>
      </c>
      <c r="L30" s="24">
        <f t="shared" si="2"/>
        <v>4000</v>
      </c>
      <c r="M30" s="24">
        <f t="shared" si="3"/>
        <v>1000</v>
      </c>
      <c r="N30" s="24">
        <f t="shared" si="4"/>
        <v>0</v>
      </c>
      <c r="O30" s="24">
        <v>6840</v>
      </c>
      <c r="P30" s="24">
        <v>5300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43140</v>
      </c>
      <c r="AA30" s="24">
        <v>0</v>
      </c>
      <c r="AB30" s="20">
        <f t="shared" si="6"/>
        <v>43140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 t="shared" si="5"/>
        <v>62030</v>
      </c>
      <c r="AA31" s="24">
        <v>0</v>
      </c>
      <c r="AB31" s="20">
        <f t="shared" si="6"/>
        <v>62030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 t="shared" si="0"/>
        <v>0</v>
      </c>
      <c r="K32" s="24">
        <f t="shared" si="1"/>
        <v>40000</v>
      </c>
      <c r="L32" s="24">
        <f t="shared" si="2"/>
        <v>5000</v>
      </c>
      <c r="M32" s="24">
        <f t="shared" si="3"/>
        <v>2000</v>
      </c>
      <c r="N32" s="24">
        <f t="shared" si="4"/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81210</v>
      </c>
      <c r="AA32" s="24">
        <v>40000</v>
      </c>
      <c r="AB32" s="20">
        <f t="shared" si="6"/>
        <v>41210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 t="shared" si="0"/>
        <v>0</v>
      </c>
      <c r="K33" s="24">
        <f t="shared" si="1"/>
        <v>24700</v>
      </c>
      <c r="L33" s="24">
        <f t="shared" si="2"/>
        <v>4000</v>
      </c>
      <c r="M33" s="24">
        <f t="shared" si="3"/>
        <v>950</v>
      </c>
      <c r="N33" s="24">
        <f t="shared" si="4"/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41790</v>
      </c>
      <c r="AA33" s="24">
        <v>43140</v>
      </c>
      <c r="AB33" s="20">
        <f t="shared" si="6"/>
        <v>-1350</v>
      </c>
      <c r="AC33" s="24" t="str">
        <f t="shared" si="7"/>
        <v/>
      </c>
      <c r="AD33" s="24" t="str">
        <f t="shared" si="8"/>
        <v/>
      </c>
      <c r="AE33" s="24" t="str">
        <f t="shared" si="9"/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 t="shared" ref="J34:J65" si="10">(1-$D34)*E34</f>
        <v>3000</v>
      </c>
      <c r="K34" s="24">
        <f t="shared" ref="K34:K65" si="11">(1-$D34)*F34</f>
        <v>33000</v>
      </c>
      <c r="L34" s="24">
        <f t="shared" ref="L34:L65" si="12">G34</f>
        <v>5000</v>
      </c>
      <c r="M34" s="24">
        <f t="shared" ref="M34:M65" si="13">(1-$D34)*H34</f>
        <v>2000</v>
      </c>
      <c r="N34" s="24">
        <f t="shared" ref="N34:N65" si="14"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5">SUM(J34:Y34)</f>
        <v>112510</v>
      </c>
      <c r="AA34" s="24">
        <v>60000</v>
      </c>
      <c r="AB34" s="20">
        <f t="shared" ref="AB34:AB65" si="16">Z34-AA34</f>
        <v>52510</v>
      </c>
      <c r="AC34" s="24" t="str">
        <f t="shared" ref="AC34:AC53" si="17">IF(AND($T34=6000, ($T34+$W34-$AB34)&gt;=6000),T34,"")</f>
        <v/>
      </c>
      <c r="AD34" s="24" t="str">
        <f t="shared" ref="AD34:AD53" si="18">IF(AND($T34=8000, ($T34+$W34-$AB34)&gt;=8000),T34,"")</f>
        <v/>
      </c>
      <c r="AE34" s="24" t="str">
        <f t="shared" ref="AE34:AE53" si="19"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 t="shared" si="10"/>
        <v>0</v>
      </c>
      <c r="K35" s="24">
        <f t="shared" si="11"/>
        <v>19500</v>
      </c>
      <c r="L35" s="24">
        <f t="shared" si="12"/>
        <v>2000</v>
      </c>
      <c r="M35" s="24">
        <f t="shared" si="13"/>
        <v>0</v>
      </c>
      <c r="N35" s="24">
        <f t="shared" si="14"/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 t="shared" si="15"/>
        <v>24550</v>
      </c>
      <c r="AA35" s="24">
        <v>1300</v>
      </c>
      <c r="AB35" s="20">
        <f t="shared" si="16"/>
        <v>23250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 t="shared" si="10"/>
        <v>0</v>
      </c>
      <c r="K36" s="24">
        <f t="shared" si="11"/>
        <v>18200</v>
      </c>
      <c r="L36" s="24">
        <f t="shared" si="12"/>
        <v>4000</v>
      </c>
      <c r="M36" s="24">
        <f t="shared" si="13"/>
        <v>0</v>
      </c>
      <c r="N36" s="24">
        <f t="shared" si="14"/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49130</v>
      </c>
      <c r="AA36" s="24">
        <v>49130</v>
      </c>
      <c r="AB36" s="20">
        <f t="shared" si="16"/>
        <v>0</v>
      </c>
      <c r="AC36" s="24">
        <f t="shared" si="17"/>
        <v>6000</v>
      </c>
      <c r="AD36" s="24" t="str">
        <f t="shared" si="18"/>
        <v/>
      </c>
      <c r="AE36" s="24" t="str">
        <f t="shared" si="19"/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19500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5"/>
        <v>65160</v>
      </c>
      <c r="AA37" s="24">
        <v>0</v>
      </c>
      <c r="AB37" s="20">
        <f t="shared" si="16"/>
        <v>65160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 t="shared" si="10"/>
        <v>0</v>
      </c>
      <c r="K38" s="24">
        <f t="shared" si="11"/>
        <v>21000</v>
      </c>
      <c r="L38" s="24">
        <f t="shared" si="12"/>
        <v>4000</v>
      </c>
      <c r="M38" s="24">
        <f t="shared" si="13"/>
        <v>0</v>
      </c>
      <c r="N38" s="24">
        <f t="shared" si="14"/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 t="shared" si="15"/>
        <v>72480</v>
      </c>
      <c r="AA38" s="24">
        <v>0</v>
      </c>
      <c r="AB38" s="20">
        <f t="shared" si="16"/>
        <v>72480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0"/>
        <v>0</v>
      </c>
      <c r="K39" s="24">
        <f t="shared" si="11"/>
        <v>26000</v>
      </c>
      <c r="L39" s="24">
        <f t="shared" si="12"/>
        <v>4000</v>
      </c>
      <c r="M39" s="24">
        <f t="shared" si="13"/>
        <v>1000</v>
      </c>
      <c r="N39" s="24">
        <f t="shared" si="14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43140</v>
      </c>
      <c r="AA39" s="24">
        <v>43140</v>
      </c>
      <c r="AB39" s="20">
        <f t="shared" si="16"/>
        <v>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 t="shared" si="10"/>
        <v>0</v>
      </c>
      <c r="K40" s="24">
        <f t="shared" si="11"/>
        <v>26000</v>
      </c>
      <c r="L40" s="24">
        <f t="shared" si="12"/>
        <v>4000</v>
      </c>
      <c r="M40" s="24">
        <f t="shared" si="13"/>
        <v>0</v>
      </c>
      <c r="N40" s="24">
        <f t="shared" si="14"/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 t="shared" si="15"/>
        <v>56930</v>
      </c>
      <c r="AA40" s="24">
        <v>0</v>
      </c>
      <c r="AB40" s="20">
        <f t="shared" si="16"/>
        <v>56930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  <c r="AF40" s="25" t="s">
        <v>325</v>
      </c>
    </row>
    <row r="41" spans="1:32" x14ac:dyDescent="0.25">
      <c r="A41" s="22" t="s">
        <v>241</v>
      </c>
      <c r="B41" s="22" t="s">
        <v>50</v>
      </c>
      <c r="C41" s="22" t="s">
        <v>252</v>
      </c>
      <c r="D41" s="23">
        <v>0</v>
      </c>
      <c r="E41" s="24">
        <v>0</v>
      </c>
      <c r="F41" s="24">
        <v>26000</v>
      </c>
      <c r="G41" s="24">
        <v>2000</v>
      </c>
      <c r="H41" s="24">
        <v>0</v>
      </c>
      <c r="I41" s="24">
        <v>0</v>
      </c>
      <c r="J41" s="24">
        <f t="shared" si="10"/>
        <v>0</v>
      </c>
      <c r="K41" s="24">
        <f t="shared" si="11"/>
        <v>26000</v>
      </c>
      <c r="L41" s="24">
        <f t="shared" si="12"/>
        <v>2000</v>
      </c>
      <c r="M41" s="24">
        <f t="shared" si="13"/>
        <v>0</v>
      </c>
      <c r="N41" s="24">
        <f t="shared" si="14"/>
        <v>0</v>
      </c>
      <c r="O41" s="24">
        <v>0</v>
      </c>
      <c r="P41" s="24">
        <v>3050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 t="shared" si="15"/>
        <v>31050</v>
      </c>
      <c r="AA41" s="24">
        <v>0</v>
      </c>
      <c r="AB41" s="20">
        <f t="shared" si="16"/>
        <v>31050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  <c r="AF41" s="25" t="s">
        <v>325</v>
      </c>
    </row>
    <row r="42" spans="1:32" x14ac:dyDescent="0.25">
      <c r="A42" s="22" t="s">
        <v>173</v>
      </c>
      <c r="B42" s="22" t="s">
        <v>174</v>
      </c>
      <c r="C42" s="22" t="s">
        <v>49</v>
      </c>
      <c r="D42" s="23">
        <v>0</v>
      </c>
      <c r="E42" s="24">
        <v>0</v>
      </c>
      <c r="F42" s="24">
        <v>26000</v>
      </c>
      <c r="G42" s="24">
        <v>4000</v>
      </c>
      <c r="H42" s="24">
        <v>1000</v>
      </c>
      <c r="I42" s="24">
        <v>0</v>
      </c>
      <c r="J42" s="24">
        <f t="shared" si="10"/>
        <v>0</v>
      </c>
      <c r="K42" s="24">
        <f t="shared" si="11"/>
        <v>26000</v>
      </c>
      <c r="L42" s="24">
        <f t="shared" si="12"/>
        <v>4000</v>
      </c>
      <c r="M42" s="24">
        <f t="shared" si="13"/>
        <v>1000</v>
      </c>
      <c r="N42" s="24">
        <f t="shared" si="14"/>
        <v>0</v>
      </c>
      <c r="O42" s="24">
        <v>6840</v>
      </c>
      <c r="P42" s="24">
        <v>5300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 t="shared" si="15"/>
        <v>43140</v>
      </c>
      <c r="AA42" s="24">
        <v>0</v>
      </c>
      <c r="AB42" s="20">
        <f t="shared" si="16"/>
        <v>43140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  <c r="AF42" s="25" t="s">
        <v>325</v>
      </c>
    </row>
    <row r="43" spans="1:32" x14ac:dyDescent="0.25">
      <c r="A43" s="22" t="s">
        <v>65</v>
      </c>
      <c r="B43" s="22" t="s">
        <v>66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0"/>
        <v>0</v>
      </c>
      <c r="K43" s="24">
        <f t="shared" si="11"/>
        <v>16500</v>
      </c>
      <c r="L43" s="24">
        <f t="shared" si="12"/>
        <v>5000</v>
      </c>
      <c r="M43" s="24">
        <f t="shared" si="13"/>
        <v>1000</v>
      </c>
      <c r="N43" s="24">
        <f t="shared" si="14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8000</v>
      </c>
      <c r="U43" s="24">
        <v>0</v>
      </c>
      <c r="V43" s="24">
        <v>0</v>
      </c>
      <c r="W43" s="24">
        <v>0</v>
      </c>
      <c r="X43" s="24">
        <v>0</v>
      </c>
      <c r="Y43" s="24">
        <v>-30</v>
      </c>
      <c r="Z43" s="24">
        <f t="shared" si="15"/>
        <v>70200</v>
      </c>
      <c r="AA43" s="24">
        <v>0</v>
      </c>
      <c r="AB43" s="20">
        <f t="shared" si="16"/>
        <v>70200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  <c r="AF43" s="25" t="s">
        <v>325</v>
      </c>
    </row>
    <row r="44" spans="1:32" x14ac:dyDescent="0.25">
      <c r="A44" s="22" t="s">
        <v>68</v>
      </c>
      <c r="B44" s="22" t="s">
        <v>69</v>
      </c>
      <c r="C44" s="22" t="s">
        <v>67</v>
      </c>
      <c r="D44" s="23">
        <v>0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0"/>
        <v>0</v>
      </c>
      <c r="K44" s="24">
        <f t="shared" si="11"/>
        <v>33000</v>
      </c>
      <c r="L44" s="24">
        <f t="shared" si="12"/>
        <v>5000</v>
      </c>
      <c r="M44" s="24">
        <f t="shared" si="13"/>
        <v>2000</v>
      </c>
      <c r="N44" s="24">
        <f t="shared" si="14"/>
        <v>6000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-8970</v>
      </c>
      <c r="Z44" s="24">
        <f t="shared" si="15"/>
        <v>73760</v>
      </c>
      <c r="AA44" s="24">
        <v>0</v>
      </c>
      <c r="AB44" s="20">
        <f t="shared" si="16"/>
        <v>73760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  <c r="AF44" s="25" t="s">
        <v>325</v>
      </c>
    </row>
    <row r="45" spans="1:32" x14ac:dyDescent="0.25">
      <c r="A45" s="22" t="s">
        <v>71</v>
      </c>
      <c r="B45" s="22" t="s">
        <v>72</v>
      </c>
      <c r="C45" s="22" t="s">
        <v>70</v>
      </c>
      <c r="D45" s="23">
        <v>0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0"/>
        <v>0</v>
      </c>
      <c r="K45" s="24">
        <f t="shared" si="11"/>
        <v>40000</v>
      </c>
      <c r="L45" s="24">
        <f t="shared" si="12"/>
        <v>5000</v>
      </c>
      <c r="M45" s="24">
        <f t="shared" si="13"/>
        <v>2000</v>
      </c>
      <c r="N45" s="24">
        <f t="shared" si="14"/>
        <v>8000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120</v>
      </c>
      <c r="Z45" s="24">
        <f t="shared" si="15"/>
        <v>81330</v>
      </c>
      <c r="AA45" s="24">
        <v>50000</v>
      </c>
      <c r="AB45" s="20">
        <f t="shared" si="16"/>
        <v>31330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  <c r="AF45" s="25" t="s">
        <v>325</v>
      </c>
    </row>
    <row r="46" spans="1:32" x14ac:dyDescent="0.25">
      <c r="A46" s="22" t="s">
        <v>74</v>
      </c>
      <c r="B46" s="22" t="s">
        <v>75</v>
      </c>
      <c r="C46" s="22" t="s">
        <v>67</v>
      </c>
      <c r="D46" s="23">
        <v>0.5</v>
      </c>
      <c r="E46" s="24">
        <v>0</v>
      </c>
      <c r="F46" s="24">
        <v>33000</v>
      </c>
      <c r="G46" s="24">
        <v>5000</v>
      </c>
      <c r="H46" s="24">
        <v>2000</v>
      </c>
      <c r="I46" s="24">
        <v>6000</v>
      </c>
      <c r="J46" s="24">
        <f t="shared" si="10"/>
        <v>0</v>
      </c>
      <c r="K46" s="24">
        <f t="shared" si="11"/>
        <v>16500</v>
      </c>
      <c r="L46" s="24">
        <f t="shared" si="12"/>
        <v>5000</v>
      </c>
      <c r="M46" s="24">
        <f t="shared" si="13"/>
        <v>1000</v>
      </c>
      <c r="N46" s="24">
        <f t="shared" si="14"/>
        <v>3000</v>
      </c>
      <c r="O46" s="24">
        <v>22400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480</v>
      </c>
      <c r="Z46" s="24">
        <f t="shared" si="15"/>
        <v>62710</v>
      </c>
      <c r="AA46" s="24">
        <v>0</v>
      </c>
      <c r="AB46" s="20">
        <f t="shared" si="16"/>
        <v>62710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  <c r="AF46" s="25" t="s">
        <v>325</v>
      </c>
    </row>
    <row r="47" spans="1:32" x14ac:dyDescent="0.25">
      <c r="A47" s="22" t="s">
        <v>191</v>
      </c>
      <c r="B47" s="22" t="s">
        <v>199</v>
      </c>
      <c r="C47" s="22" t="s">
        <v>67</v>
      </c>
      <c r="D47" s="23">
        <v>0.25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 t="shared" si="10"/>
        <v>0</v>
      </c>
      <c r="K47" s="24">
        <f t="shared" si="11"/>
        <v>24750</v>
      </c>
      <c r="L47" s="24">
        <f t="shared" si="12"/>
        <v>5000</v>
      </c>
      <c r="M47" s="24">
        <f t="shared" si="13"/>
        <v>1500</v>
      </c>
      <c r="N47" s="24">
        <f t="shared" si="14"/>
        <v>4500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 t="shared" si="15"/>
        <v>72480</v>
      </c>
      <c r="AA47" s="24">
        <v>0</v>
      </c>
      <c r="AB47" s="20">
        <f t="shared" si="16"/>
        <v>72480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  <c r="AF47" s="25" t="s">
        <v>325</v>
      </c>
    </row>
    <row r="48" spans="1:32" x14ac:dyDescent="0.25">
      <c r="A48" s="22" t="s">
        <v>191</v>
      </c>
      <c r="B48" s="22" t="s">
        <v>192</v>
      </c>
      <c r="C48" s="22" t="s">
        <v>70</v>
      </c>
      <c r="D48" s="23">
        <v>0.25</v>
      </c>
      <c r="E48" s="24">
        <v>0</v>
      </c>
      <c r="F48" s="24">
        <v>40000</v>
      </c>
      <c r="G48" s="24">
        <v>5000</v>
      </c>
      <c r="H48" s="24">
        <v>2000</v>
      </c>
      <c r="I48" s="24">
        <v>8000</v>
      </c>
      <c r="J48" s="24">
        <f t="shared" si="10"/>
        <v>0</v>
      </c>
      <c r="K48" s="24">
        <f t="shared" si="11"/>
        <v>30000</v>
      </c>
      <c r="L48" s="24">
        <f t="shared" si="12"/>
        <v>5000</v>
      </c>
      <c r="M48" s="24">
        <f t="shared" si="13"/>
        <v>1500</v>
      </c>
      <c r="N48" s="24">
        <f t="shared" si="14"/>
        <v>6000</v>
      </c>
      <c r="O48" s="24">
        <v>11880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68710</v>
      </c>
      <c r="AA48" s="24">
        <v>0</v>
      </c>
      <c r="AB48" s="20">
        <f t="shared" si="16"/>
        <v>68710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  <c r="AF48" s="25" t="s">
        <v>325</v>
      </c>
    </row>
    <row r="49" spans="1:32" x14ac:dyDescent="0.25">
      <c r="A49" s="22" t="s">
        <v>243</v>
      </c>
      <c r="B49" s="22" t="s">
        <v>244</v>
      </c>
      <c r="C49" s="22" t="s">
        <v>49</v>
      </c>
      <c r="D49" s="23">
        <v>0</v>
      </c>
      <c r="E49" s="24">
        <v>0</v>
      </c>
      <c r="F49" s="24">
        <v>26000</v>
      </c>
      <c r="G49" s="24">
        <v>4000</v>
      </c>
      <c r="H49" s="24">
        <v>1000</v>
      </c>
      <c r="I49" s="24">
        <v>0</v>
      </c>
      <c r="J49" s="24">
        <f t="shared" si="10"/>
        <v>0</v>
      </c>
      <c r="K49" s="24">
        <f t="shared" si="11"/>
        <v>26000</v>
      </c>
      <c r="L49" s="24">
        <f t="shared" si="12"/>
        <v>4000</v>
      </c>
      <c r="M49" s="24">
        <f t="shared" si="13"/>
        <v>1000</v>
      </c>
      <c r="N49" s="24">
        <f t="shared" si="14"/>
        <v>0</v>
      </c>
      <c r="O49" s="24">
        <v>6840</v>
      </c>
      <c r="P49" s="24">
        <v>5300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5"/>
        <v>43140</v>
      </c>
      <c r="AA49" s="24">
        <v>0</v>
      </c>
      <c r="AB49" s="20">
        <f t="shared" si="16"/>
        <v>43140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  <c r="AF49" s="25" t="s">
        <v>325</v>
      </c>
    </row>
    <row r="50" spans="1:32" x14ac:dyDescent="0.25">
      <c r="A50" s="22" t="s">
        <v>64</v>
      </c>
      <c r="B50" s="22" t="s">
        <v>76</v>
      </c>
      <c r="C50" s="22" t="s">
        <v>47</v>
      </c>
      <c r="D50" s="23">
        <v>0.25</v>
      </c>
      <c r="E50" s="24">
        <v>0</v>
      </c>
      <c r="F50" s="24">
        <v>26000</v>
      </c>
      <c r="G50" s="24">
        <v>4000</v>
      </c>
      <c r="H50" s="24">
        <v>0</v>
      </c>
      <c r="I50" s="24">
        <v>0</v>
      </c>
      <c r="J50" s="24">
        <f t="shared" si="10"/>
        <v>0</v>
      </c>
      <c r="K50" s="24">
        <f t="shared" si="11"/>
        <v>19500</v>
      </c>
      <c r="L50" s="24">
        <f t="shared" si="12"/>
        <v>4000</v>
      </c>
      <c r="M50" s="24">
        <f t="shared" si="13"/>
        <v>0</v>
      </c>
      <c r="N50" s="24">
        <f t="shared" si="14"/>
        <v>0</v>
      </c>
      <c r="O50" s="24">
        <v>24930</v>
      </c>
      <c r="P50" s="24">
        <v>10730</v>
      </c>
      <c r="Q50" s="24">
        <v>0</v>
      </c>
      <c r="R50" s="24">
        <v>0</v>
      </c>
      <c r="S50" s="24">
        <v>0</v>
      </c>
      <c r="T50" s="24">
        <v>6000</v>
      </c>
      <c r="U50" s="24">
        <v>0</v>
      </c>
      <c r="V50" s="24">
        <v>0</v>
      </c>
      <c r="W50" s="24">
        <v>0</v>
      </c>
      <c r="X50" s="24">
        <v>0</v>
      </c>
      <c r="Y50" s="24">
        <v>18500</v>
      </c>
      <c r="Z50" s="24">
        <f t="shared" si="15"/>
        <v>83660</v>
      </c>
      <c r="AA50" s="24">
        <v>83180</v>
      </c>
      <c r="AB50" s="20">
        <f t="shared" si="16"/>
        <v>480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  <c r="AF50" s="25" t="s">
        <v>325</v>
      </c>
    </row>
    <row r="51" spans="1:32" x14ac:dyDescent="0.25">
      <c r="A51" s="22" t="s">
        <v>64</v>
      </c>
      <c r="B51" s="22" t="s">
        <v>77</v>
      </c>
      <c r="C51" s="22" t="s">
        <v>248</v>
      </c>
      <c r="D51" s="23">
        <v>0.05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0"/>
        <v>0</v>
      </c>
      <c r="K51" s="24">
        <f t="shared" si="11"/>
        <v>26600</v>
      </c>
      <c r="L51" s="24">
        <f t="shared" si="12"/>
        <v>4000</v>
      </c>
      <c r="M51" s="24">
        <f t="shared" si="13"/>
        <v>0</v>
      </c>
      <c r="N51" s="24">
        <f t="shared" si="14"/>
        <v>4750</v>
      </c>
      <c r="O51" s="24">
        <v>28790</v>
      </c>
      <c r="P51" s="24">
        <v>13230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 t="shared" si="15"/>
        <v>77370</v>
      </c>
      <c r="AA51" s="24">
        <v>79020</v>
      </c>
      <c r="AB51" s="20">
        <f t="shared" si="16"/>
        <v>-1650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  <c r="AF51" s="25" t="s">
        <v>326</v>
      </c>
    </row>
    <row r="52" spans="1:32" x14ac:dyDescent="0.25">
      <c r="A52" s="22" t="s">
        <v>78</v>
      </c>
      <c r="B52" s="22" t="s">
        <v>79</v>
      </c>
      <c r="C52" s="22" t="s">
        <v>33</v>
      </c>
      <c r="D52" s="23">
        <v>0</v>
      </c>
      <c r="E52" s="24">
        <v>0</v>
      </c>
      <c r="F52" s="24">
        <v>28000</v>
      </c>
      <c r="G52" s="24">
        <v>4000</v>
      </c>
      <c r="H52" s="24">
        <v>2500</v>
      </c>
      <c r="I52" s="24">
        <v>5000</v>
      </c>
      <c r="J52" s="24">
        <f t="shared" si="10"/>
        <v>0</v>
      </c>
      <c r="K52" s="24">
        <f t="shared" si="11"/>
        <v>28000</v>
      </c>
      <c r="L52" s="24">
        <f t="shared" si="12"/>
        <v>4000</v>
      </c>
      <c r="M52" s="24">
        <f t="shared" si="13"/>
        <v>2500</v>
      </c>
      <c r="N52" s="24">
        <f t="shared" si="14"/>
        <v>5000</v>
      </c>
      <c r="O52" s="24">
        <v>25970</v>
      </c>
      <c r="P52" s="24">
        <v>11330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 t="shared" si="15"/>
        <v>82800</v>
      </c>
      <c r="AA52" s="24">
        <v>82350</v>
      </c>
      <c r="AB52" s="20">
        <f t="shared" si="16"/>
        <v>450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  <c r="AF52" s="25" t="s">
        <v>325</v>
      </c>
    </row>
    <row r="53" spans="1:32" x14ac:dyDescent="0.25">
      <c r="A53" s="22" t="s">
        <v>355</v>
      </c>
      <c r="B53" s="22" t="s">
        <v>357</v>
      </c>
      <c r="C53" s="22" t="s">
        <v>44</v>
      </c>
      <c r="D53" s="23">
        <v>0.25</v>
      </c>
      <c r="E53" s="24">
        <v>2000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0"/>
        <v>1500</v>
      </c>
      <c r="K53" s="24">
        <f t="shared" si="11"/>
        <v>19500</v>
      </c>
      <c r="L53" s="24">
        <f t="shared" si="12"/>
        <v>4000</v>
      </c>
      <c r="M53" s="24">
        <f t="shared" si="13"/>
        <v>750</v>
      </c>
      <c r="N53" s="24">
        <f t="shared" si="14"/>
        <v>0</v>
      </c>
      <c r="O53" s="24">
        <v>13380</v>
      </c>
      <c r="P53" s="24">
        <v>7550</v>
      </c>
      <c r="Q53" s="24">
        <v>16000</v>
      </c>
      <c r="R53" s="24">
        <v>8000</v>
      </c>
      <c r="S53" s="24">
        <v>7000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77680</v>
      </c>
      <c r="AA53" s="24">
        <v>0</v>
      </c>
      <c r="AB53" s="20">
        <f t="shared" si="16"/>
        <v>77680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  <c r="AF53" s="24"/>
    </row>
    <row r="54" spans="1:32" x14ac:dyDescent="0.25">
      <c r="A54" s="22" t="s">
        <v>355</v>
      </c>
      <c r="B54" s="22" t="s">
        <v>356</v>
      </c>
      <c r="C54" s="22" t="s">
        <v>49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1500</v>
      </c>
      <c r="K54" s="24">
        <f t="shared" si="11"/>
        <v>19500</v>
      </c>
      <c r="L54" s="24">
        <f t="shared" si="12"/>
        <v>4000</v>
      </c>
      <c r="M54" s="24">
        <f t="shared" si="13"/>
        <v>750</v>
      </c>
      <c r="N54" s="24">
        <f t="shared" si="14"/>
        <v>0</v>
      </c>
      <c r="O54" s="24">
        <v>6840</v>
      </c>
      <c r="P54" s="24">
        <v>5300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 t="shared" si="15"/>
        <v>68890</v>
      </c>
      <c r="AA54" s="24">
        <v>0</v>
      </c>
      <c r="AB54" s="20">
        <f t="shared" si="16"/>
        <v>68890</v>
      </c>
      <c r="AC54" s="24"/>
      <c r="AD54" s="24"/>
      <c r="AE54" s="24"/>
      <c r="AF54" s="24"/>
    </row>
    <row r="55" spans="1:32" x14ac:dyDescent="0.25">
      <c r="A55" s="22" t="s">
        <v>55</v>
      </c>
      <c r="B55" s="22" t="s">
        <v>80</v>
      </c>
      <c r="C55" s="22" t="s">
        <v>67</v>
      </c>
      <c r="D55" s="23">
        <v>0.5</v>
      </c>
      <c r="E55" s="24">
        <v>0</v>
      </c>
      <c r="F55" s="24">
        <v>33000</v>
      </c>
      <c r="G55" s="24">
        <v>5000</v>
      </c>
      <c r="H55" s="24">
        <v>2000</v>
      </c>
      <c r="I55" s="24">
        <v>6000</v>
      </c>
      <c r="J55" s="24">
        <f t="shared" si="10"/>
        <v>0</v>
      </c>
      <c r="K55" s="24">
        <f t="shared" si="11"/>
        <v>16500</v>
      </c>
      <c r="L55" s="24">
        <f t="shared" si="12"/>
        <v>5000</v>
      </c>
      <c r="M55" s="24">
        <f t="shared" si="13"/>
        <v>1000</v>
      </c>
      <c r="N55" s="24">
        <f t="shared" si="14"/>
        <v>3000</v>
      </c>
      <c r="O55" s="24">
        <v>22400</v>
      </c>
      <c r="P55" s="24">
        <v>14330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500</v>
      </c>
      <c r="Z55" s="24">
        <f t="shared" si="15"/>
        <v>62730</v>
      </c>
      <c r="AA55" s="24">
        <v>0</v>
      </c>
      <c r="AB55" s="20">
        <f t="shared" si="16"/>
        <v>62730</v>
      </c>
      <c r="AC55" s="24" t="str">
        <f t="shared" ref="AC55:AC86" si="20">IF(AND($T55=6000, ($T55+$W55-$AB55)&gt;=6000),T55,"")</f>
        <v/>
      </c>
      <c r="AD55" s="24" t="str">
        <f t="shared" ref="AD55:AD86" si="21">IF(AND($T55=8000, ($T55+$W55-$AB55)&gt;=8000),T55,"")</f>
        <v/>
      </c>
      <c r="AE55" s="24" t="str">
        <f t="shared" ref="AE55:AE86" si="22">IF(($T55+$W55-$AB55)&gt;=$T55+8000,W55,"")</f>
        <v/>
      </c>
      <c r="AF55" s="25" t="s">
        <v>325</v>
      </c>
    </row>
    <row r="56" spans="1:32" x14ac:dyDescent="0.25">
      <c r="A56" s="22" t="s">
        <v>224</v>
      </c>
      <c r="B56" s="22" t="s">
        <v>226</v>
      </c>
      <c r="C56" s="22" t="s">
        <v>48</v>
      </c>
      <c r="D56" s="23">
        <v>0.25</v>
      </c>
      <c r="E56" s="24">
        <v>0</v>
      </c>
      <c r="F56" s="24">
        <v>28000</v>
      </c>
      <c r="G56" s="24">
        <v>4000</v>
      </c>
      <c r="H56" s="24">
        <v>0</v>
      </c>
      <c r="I56" s="24">
        <v>5000</v>
      </c>
      <c r="J56" s="24">
        <f t="shared" si="10"/>
        <v>0</v>
      </c>
      <c r="K56" s="24">
        <f t="shared" si="11"/>
        <v>21000</v>
      </c>
      <c r="L56" s="24">
        <f t="shared" si="12"/>
        <v>4000</v>
      </c>
      <c r="M56" s="24">
        <f t="shared" si="13"/>
        <v>0</v>
      </c>
      <c r="N56" s="24">
        <f t="shared" si="14"/>
        <v>3750</v>
      </c>
      <c r="O56" s="24">
        <v>26150</v>
      </c>
      <c r="P56" s="24">
        <v>11330</v>
      </c>
      <c r="Q56" s="24">
        <v>0</v>
      </c>
      <c r="R56" s="24">
        <v>0</v>
      </c>
      <c r="S56" s="24">
        <v>0</v>
      </c>
      <c r="T56" s="24">
        <v>6000</v>
      </c>
      <c r="U56" s="24">
        <v>0</v>
      </c>
      <c r="V56" s="24">
        <v>0</v>
      </c>
      <c r="W56" s="24">
        <v>0</v>
      </c>
      <c r="X56" s="24">
        <v>0</v>
      </c>
      <c r="Y56" s="24">
        <v>22105</v>
      </c>
      <c r="Z56" s="24">
        <f t="shared" si="15"/>
        <v>94335</v>
      </c>
      <c r="AA56" s="24">
        <v>20000</v>
      </c>
      <c r="AB56" s="20">
        <f t="shared" si="16"/>
        <v>74335</v>
      </c>
      <c r="AC56" s="24" t="str">
        <f t="shared" si="20"/>
        <v/>
      </c>
      <c r="AD56" s="24" t="str">
        <f t="shared" si="21"/>
        <v/>
      </c>
      <c r="AE56" s="24" t="str">
        <f t="shared" si="22"/>
        <v/>
      </c>
      <c r="AF56" s="25" t="s">
        <v>325</v>
      </c>
    </row>
    <row r="57" spans="1:32" x14ac:dyDescent="0.25">
      <c r="A57" s="22" t="s">
        <v>224</v>
      </c>
      <c r="B57" s="22" t="s">
        <v>225</v>
      </c>
      <c r="C57" s="22" t="s">
        <v>248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 t="shared" si="10"/>
        <v>0</v>
      </c>
      <c r="K57" s="24">
        <f t="shared" si="11"/>
        <v>21000</v>
      </c>
      <c r="L57" s="24">
        <f t="shared" si="12"/>
        <v>4000</v>
      </c>
      <c r="M57" s="24">
        <f t="shared" si="13"/>
        <v>0</v>
      </c>
      <c r="N57" s="24">
        <f t="shared" si="14"/>
        <v>3750</v>
      </c>
      <c r="O57" s="24">
        <v>28790</v>
      </c>
      <c r="P57" s="24">
        <v>13230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24395</v>
      </c>
      <c r="Z57" s="24">
        <f t="shared" si="15"/>
        <v>101165</v>
      </c>
      <c r="AA57" s="24">
        <v>20000</v>
      </c>
      <c r="AB57" s="20">
        <f t="shared" si="16"/>
        <v>81165</v>
      </c>
      <c r="AC57" s="24" t="str">
        <f t="shared" si="20"/>
        <v/>
      </c>
      <c r="AD57" s="24" t="str">
        <f t="shared" si="21"/>
        <v/>
      </c>
      <c r="AE57" s="24" t="str">
        <f t="shared" si="22"/>
        <v/>
      </c>
      <c r="AF57" s="25" t="s">
        <v>325</v>
      </c>
    </row>
    <row r="58" spans="1:32" x14ac:dyDescent="0.25">
      <c r="A58" s="22" t="s">
        <v>153</v>
      </c>
      <c r="B58" s="22" t="s">
        <v>154</v>
      </c>
      <c r="C58" s="22" t="s">
        <v>30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 t="shared" si="10"/>
        <v>0</v>
      </c>
      <c r="K58" s="24">
        <f t="shared" si="11"/>
        <v>26000</v>
      </c>
      <c r="L58" s="24">
        <f t="shared" si="12"/>
        <v>4000</v>
      </c>
      <c r="M58" s="24">
        <f t="shared" si="13"/>
        <v>1000</v>
      </c>
      <c r="N58" s="24">
        <f t="shared" si="14"/>
        <v>0</v>
      </c>
      <c r="O58" s="24">
        <v>12480</v>
      </c>
      <c r="P58" s="24">
        <v>7550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5"/>
        <v>51030</v>
      </c>
      <c r="AA58" s="24">
        <v>0</v>
      </c>
      <c r="AB58" s="20">
        <f t="shared" si="16"/>
        <v>51030</v>
      </c>
      <c r="AC58" s="24" t="str">
        <f t="shared" si="20"/>
        <v/>
      </c>
      <c r="AD58" s="24" t="str">
        <f t="shared" si="21"/>
        <v/>
      </c>
      <c r="AE58" s="24" t="str">
        <f t="shared" si="22"/>
        <v/>
      </c>
      <c r="AF58" s="25" t="s">
        <v>325</v>
      </c>
    </row>
    <row r="59" spans="1:32" x14ac:dyDescent="0.25">
      <c r="A59" s="22" t="s">
        <v>175</v>
      </c>
      <c r="B59" s="22" t="s">
        <v>176</v>
      </c>
      <c r="C59" s="22" t="s">
        <v>49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 t="shared" si="10"/>
        <v>0</v>
      </c>
      <c r="K59" s="24">
        <f t="shared" si="11"/>
        <v>26000</v>
      </c>
      <c r="L59" s="24">
        <f t="shared" si="12"/>
        <v>4000</v>
      </c>
      <c r="M59" s="24">
        <f t="shared" si="13"/>
        <v>1000</v>
      </c>
      <c r="N59" s="24">
        <f t="shared" si="14"/>
        <v>0</v>
      </c>
      <c r="O59" s="24">
        <v>6840</v>
      </c>
      <c r="P59" s="24">
        <v>5300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2000</v>
      </c>
      <c r="Z59" s="24">
        <f t="shared" si="15"/>
        <v>45140</v>
      </c>
      <c r="AA59" s="24">
        <v>50440</v>
      </c>
      <c r="AB59" s="20">
        <f t="shared" si="16"/>
        <v>-5300</v>
      </c>
      <c r="AC59" s="24" t="str">
        <f t="shared" si="20"/>
        <v/>
      </c>
      <c r="AD59" s="24" t="str">
        <f t="shared" si="21"/>
        <v/>
      </c>
      <c r="AE59" s="24" t="str">
        <f t="shared" si="22"/>
        <v/>
      </c>
      <c r="AF59" s="25" t="s">
        <v>325</v>
      </c>
    </row>
    <row r="60" spans="1:32" x14ac:dyDescent="0.25">
      <c r="A60" s="22" t="s">
        <v>280</v>
      </c>
      <c r="B60" s="22" t="s">
        <v>360</v>
      </c>
      <c r="C60" s="22" t="s">
        <v>67</v>
      </c>
      <c r="D60" s="23">
        <v>0.25</v>
      </c>
      <c r="E60" s="24">
        <v>3000</v>
      </c>
      <c r="F60" s="24">
        <v>33000</v>
      </c>
      <c r="G60" s="24">
        <v>5000</v>
      </c>
      <c r="H60" s="24">
        <v>2000</v>
      </c>
      <c r="I60" s="24">
        <v>6000</v>
      </c>
      <c r="J60" s="24">
        <f t="shared" si="10"/>
        <v>2250</v>
      </c>
      <c r="K60" s="24">
        <f t="shared" si="11"/>
        <v>24750</v>
      </c>
      <c r="L60" s="24">
        <f t="shared" si="12"/>
        <v>5000</v>
      </c>
      <c r="M60" s="24">
        <f t="shared" si="13"/>
        <v>1500</v>
      </c>
      <c r="N60" s="24">
        <f t="shared" si="14"/>
        <v>4500</v>
      </c>
      <c r="O60" s="24">
        <v>22400</v>
      </c>
      <c r="P60" s="24">
        <v>14330</v>
      </c>
      <c r="Q60" s="24">
        <v>12000</v>
      </c>
      <c r="R60" s="24">
        <v>8000</v>
      </c>
      <c r="S60" s="24">
        <v>8000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5"/>
        <v>102730</v>
      </c>
      <c r="AA60" s="24">
        <v>100000</v>
      </c>
      <c r="AB60" s="20">
        <f t="shared" si="16"/>
        <v>2730</v>
      </c>
      <c r="AC60" s="24" t="str">
        <f t="shared" si="20"/>
        <v/>
      </c>
      <c r="AD60" s="24" t="str">
        <f t="shared" si="21"/>
        <v/>
      </c>
      <c r="AE60" s="24" t="str">
        <f t="shared" si="22"/>
        <v/>
      </c>
      <c r="AF60" s="25" t="s">
        <v>325</v>
      </c>
    </row>
    <row r="61" spans="1:32" x14ac:dyDescent="0.25">
      <c r="A61" s="22" t="s">
        <v>280</v>
      </c>
      <c r="B61" s="22" t="s">
        <v>193</v>
      </c>
      <c r="C61" s="22" t="s">
        <v>97</v>
      </c>
      <c r="D61" s="23">
        <v>0.25</v>
      </c>
      <c r="E61" s="24">
        <v>3000</v>
      </c>
      <c r="F61" s="24">
        <v>40000</v>
      </c>
      <c r="G61" s="24">
        <v>5000</v>
      </c>
      <c r="H61" s="24">
        <v>2000</v>
      </c>
      <c r="I61" s="24">
        <v>8000</v>
      </c>
      <c r="J61" s="24">
        <f t="shared" si="10"/>
        <v>2250</v>
      </c>
      <c r="K61" s="24">
        <f t="shared" si="11"/>
        <v>30000</v>
      </c>
      <c r="L61" s="24">
        <f t="shared" si="12"/>
        <v>5000</v>
      </c>
      <c r="M61" s="24">
        <f t="shared" si="13"/>
        <v>1500</v>
      </c>
      <c r="N61" s="24">
        <f t="shared" si="14"/>
        <v>6000</v>
      </c>
      <c r="O61" s="24">
        <v>11880</v>
      </c>
      <c r="P61" s="24">
        <v>14330</v>
      </c>
      <c r="Q61" s="24">
        <v>20000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5"/>
        <v>106960</v>
      </c>
      <c r="AA61" s="24">
        <v>100000</v>
      </c>
      <c r="AB61" s="20">
        <f t="shared" si="16"/>
        <v>6960</v>
      </c>
      <c r="AC61" s="24" t="str">
        <f t="shared" si="20"/>
        <v/>
      </c>
      <c r="AD61" s="24" t="str">
        <f t="shared" si="21"/>
        <v/>
      </c>
      <c r="AE61" s="24" t="str">
        <f t="shared" si="22"/>
        <v/>
      </c>
      <c r="AF61" s="25" t="s">
        <v>325</v>
      </c>
    </row>
    <row r="62" spans="1:32" x14ac:dyDescent="0.25">
      <c r="A62" s="22" t="s">
        <v>155</v>
      </c>
      <c r="B62" s="22" t="s">
        <v>156</v>
      </c>
      <c r="C62" s="22" t="s">
        <v>44</v>
      </c>
      <c r="D62" s="23">
        <v>0</v>
      </c>
      <c r="E62" s="24">
        <v>0</v>
      </c>
      <c r="F62" s="24">
        <v>26000</v>
      </c>
      <c r="G62" s="24">
        <v>4000</v>
      </c>
      <c r="H62" s="24">
        <v>0</v>
      </c>
      <c r="I62" s="24">
        <v>0</v>
      </c>
      <c r="J62" s="24">
        <f t="shared" si="10"/>
        <v>0</v>
      </c>
      <c r="K62" s="24">
        <f t="shared" si="11"/>
        <v>26000</v>
      </c>
      <c r="L62" s="24">
        <f t="shared" si="12"/>
        <v>4000</v>
      </c>
      <c r="M62" s="24">
        <f t="shared" si="13"/>
        <v>0</v>
      </c>
      <c r="N62" s="24">
        <f t="shared" si="14"/>
        <v>0</v>
      </c>
      <c r="O62" s="24">
        <v>13380</v>
      </c>
      <c r="P62" s="24">
        <v>7550</v>
      </c>
      <c r="Q62" s="24">
        <v>0</v>
      </c>
      <c r="R62" s="24">
        <v>0</v>
      </c>
      <c r="S62" s="24">
        <v>0</v>
      </c>
      <c r="T62" s="24">
        <v>6000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5"/>
        <v>56930</v>
      </c>
      <c r="AA62" s="24">
        <v>0</v>
      </c>
      <c r="AB62" s="20">
        <f t="shared" si="16"/>
        <v>56930</v>
      </c>
      <c r="AC62" s="24" t="str">
        <f t="shared" si="20"/>
        <v/>
      </c>
      <c r="AD62" s="24" t="str">
        <f t="shared" si="21"/>
        <v/>
      </c>
      <c r="AE62" s="24" t="str">
        <f t="shared" si="22"/>
        <v/>
      </c>
      <c r="AF62" s="25" t="s">
        <v>325</v>
      </c>
    </row>
    <row r="63" spans="1:32" x14ac:dyDescent="0.25">
      <c r="A63" s="22" t="s">
        <v>180</v>
      </c>
      <c r="B63" s="22" t="s">
        <v>181</v>
      </c>
      <c r="C63" s="22" t="s">
        <v>33</v>
      </c>
      <c r="D63" s="23">
        <v>0</v>
      </c>
      <c r="E63" s="24">
        <v>0</v>
      </c>
      <c r="F63" s="24">
        <v>28000</v>
      </c>
      <c r="G63" s="24">
        <v>4000</v>
      </c>
      <c r="H63" s="24">
        <v>2500</v>
      </c>
      <c r="I63" s="24">
        <v>5000</v>
      </c>
      <c r="J63" s="24">
        <f t="shared" si="10"/>
        <v>0</v>
      </c>
      <c r="K63" s="24">
        <f t="shared" si="11"/>
        <v>28000</v>
      </c>
      <c r="L63" s="24">
        <f t="shared" si="12"/>
        <v>4000</v>
      </c>
      <c r="M63" s="24">
        <f t="shared" si="13"/>
        <v>2500</v>
      </c>
      <c r="N63" s="24">
        <f t="shared" si="14"/>
        <v>5000</v>
      </c>
      <c r="O63" s="24">
        <v>25970</v>
      </c>
      <c r="P63" s="24">
        <v>11330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76800</v>
      </c>
      <c r="AA63" s="24">
        <v>0</v>
      </c>
      <c r="AB63" s="20">
        <f t="shared" si="16"/>
        <v>76800</v>
      </c>
      <c r="AC63" s="24" t="str">
        <f t="shared" si="20"/>
        <v/>
      </c>
      <c r="AD63" s="24" t="str">
        <f t="shared" si="21"/>
        <v/>
      </c>
      <c r="AE63" s="24" t="str">
        <f t="shared" si="22"/>
        <v/>
      </c>
      <c r="AF63" s="25" t="s">
        <v>325</v>
      </c>
    </row>
    <row r="64" spans="1:32" x14ac:dyDescent="0.25">
      <c r="A64" s="22" t="s">
        <v>177</v>
      </c>
      <c r="B64" s="22" t="s">
        <v>178</v>
      </c>
      <c r="C64" s="22" t="s">
        <v>44</v>
      </c>
      <c r="D64" s="23">
        <v>0.25</v>
      </c>
      <c r="E64" s="24">
        <v>0</v>
      </c>
      <c r="F64" s="24">
        <v>26000</v>
      </c>
      <c r="G64" s="24">
        <v>4000</v>
      </c>
      <c r="H64" s="24">
        <v>0</v>
      </c>
      <c r="I64" s="24">
        <v>0</v>
      </c>
      <c r="J64" s="24">
        <f t="shared" si="10"/>
        <v>0</v>
      </c>
      <c r="K64" s="24">
        <f t="shared" si="11"/>
        <v>19500</v>
      </c>
      <c r="L64" s="24">
        <f t="shared" si="12"/>
        <v>4000</v>
      </c>
      <c r="M64" s="24">
        <f t="shared" si="13"/>
        <v>0</v>
      </c>
      <c r="N64" s="24">
        <f t="shared" si="14"/>
        <v>0</v>
      </c>
      <c r="O64" s="24">
        <v>13380</v>
      </c>
      <c r="P64" s="24">
        <v>7550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5"/>
        <v>44430</v>
      </c>
      <c r="AA64" s="24">
        <v>0</v>
      </c>
      <c r="AB64" s="20">
        <f t="shared" si="16"/>
        <v>44430</v>
      </c>
      <c r="AC64" s="24" t="str">
        <f t="shared" si="20"/>
        <v/>
      </c>
      <c r="AD64" s="24" t="str">
        <f t="shared" si="21"/>
        <v/>
      </c>
      <c r="AE64" s="24" t="str">
        <f t="shared" si="22"/>
        <v/>
      </c>
      <c r="AF64" s="25" t="s">
        <v>325</v>
      </c>
    </row>
    <row r="65" spans="1:32" x14ac:dyDescent="0.25">
      <c r="A65" s="22" t="s">
        <v>234</v>
      </c>
      <c r="B65" s="22" t="s">
        <v>255</v>
      </c>
      <c r="C65" s="22" t="s">
        <v>44</v>
      </c>
      <c r="D65" s="23">
        <v>0.05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 t="shared" si="10"/>
        <v>0</v>
      </c>
      <c r="K65" s="24">
        <f t="shared" si="11"/>
        <v>24700</v>
      </c>
      <c r="L65" s="24">
        <f t="shared" si="12"/>
        <v>4000</v>
      </c>
      <c r="M65" s="24">
        <f t="shared" si="13"/>
        <v>0</v>
      </c>
      <c r="N65" s="24">
        <f t="shared" si="14"/>
        <v>0</v>
      </c>
      <c r="O65" s="24">
        <v>13380</v>
      </c>
      <c r="P65" s="24">
        <v>7550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1000</v>
      </c>
      <c r="Z65" s="24">
        <f t="shared" si="15"/>
        <v>50630</v>
      </c>
      <c r="AA65" s="24">
        <v>51930</v>
      </c>
      <c r="AB65" s="20">
        <f t="shared" si="16"/>
        <v>-1300</v>
      </c>
      <c r="AC65" s="24" t="str">
        <f t="shared" si="20"/>
        <v/>
      </c>
      <c r="AD65" s="24" t="str">
        <f t="shared" si="21"/>
        <v/>
      </c>
      <c r="AE65" s="24" t="str">
        <f t="shared" si="22"/>
        <v/>
      </c>
      <c r="AF65" s="25" t="s">
        <v>326</v>
      </c>
    </row>
    <row r="66" spans="1:32" x14ac:dyDescent="0.25">
      <c r="A66" s="22" t="s">
        <v>81</v>
      </c>
      <c r="B66" s="22" t="s">
        <v>82</v>
      </c>
      <c r="C66" s="22" t="s">
        <v>33</v>
      </c>
      <c r="D66" s="23">
        <v>0</v>
      </c>
      <c r="E66" s="24">
        <v>0</v>
      </c>
      <c r="F66" s="24">
        <v>28000</v>
      </c>
      <c r="G66" s="24">
        <v>4000</v>
      </c>
      <c r="H66" s="24">
        <v>2500</v>
      </c>
      <c r="I66" s="24">
        <v>5000</v>
      </c>
      <c r="J66" s="24">
        <f t="shared" ref="J66:J97" si="23">(1-$D66)*E66</f>
        <v>0</v>
      </c>
      <c r="K66" s="24">
        <f t="shared" ref="K66:K97" si="24">(1-$D66)*F66</f>
        <v>28000</v>
      </c>
      <c r="L66" s="24">
        <f t="shared" ref="L66:L97" si="25">G66</f>
        <v>4000</v>
      </c>
      <c r="M66" s="24">
        <f t="shared" ref="M66:M97" si="26">(1-$D66)*H66</f>
        <v>2500</v>
      </c>
      <c r="N66" s="24">
        <f t="shared" ref="N66:N97" si="27">(1-$D66)*I66</f>
        <v>5000</v>
      </c>
      <c r="O66" s="24">
        <v>25970</v>
      </c>
      <c r="P66" s="24">
        <v>11330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550</v>
      </c>
      <c r="Z66" s="24">
        <f t="shared" ref="Z66:Z97" si="28">SUM(J66:Y66)</f>
        <v>77350</v>
      </c>
      <c r="AA66" s="24">
        <v>25000</v>
      </c>
      <c r="AB66" s="20">
        <f t="shared" ref="AB66:AB97" si="29">Z66-AA66</f>
        <v>52350</v>
      </c>
      <c r="AC66" s="24" t="str">
        <f t="shared" si="20"/>
        <v/>
      </c>
      <c r="AD66" s="24" t="str">
        <f t="shared" si="21"/>
        <v/>
      </c>
      <c r="AE66" s="24" t="str">
        <f t="shared" si="22"/>
        <v/>
      </c>
      <c r="AF66" s="25" t="s">
        <v>325</v>
      </c>
    </row>
    <row r="67" spans="1:32" x14ac:dyDescent="0.25">
      <c r="A67" s="22" t="s">
        <v>83</v>
      </c>
      <c r="B67" s="22" t="s">
        <v>84</v>
      </c>
      <c r="C67" s="22" t="s">
        <v>46</v>
      </c>
      <c r="D67" s="23">
        <v>0</v>
      </c>
      <c r="E67" s="24">
        <v>0</v>
      </c>
      <c r="F67" s="24">
        <v>28000</v>
      </c>
      <c r="G67" s="24">
        <v>4000</v>
      </c>
      <c r="H67" s="24">
        <v>0</v>
      </c>
      <c r="I67" s="24">
        <v>5000</v>
      </c>
      <c r="J67" s="24">
        <f t="shared" si="23"/>
        <v>0</v>
      </c>
      <c r="K67" s="24">
        <f t="shared" si="24"/>
        <v>28000</v>
      </c>
      <c r="L67" s="24">
        <f t="shared" si="25"/>
        <v>4000</v>
      </c>
      <c r="M67" s="24">
        <f t="shared" si="26"/>
        <v>0</v>
      </c>
      <c r="N67" s="24">
        <f t="shared" si="27"/>
        <v>5000</v>
      </c>
      <c r="O67" s="24">
        <v>27310</v>
      </c>
      <c r="P67" s="24">
        <v>13230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 t="shared" si="28"/>
        <v>77540</v>
      </c>
      <c r="AA67" s="24">
        <v>50000</v>
      </c>
      <c r="AB67" s="20">
        <f t="shared" si="29"/>
        <v>27540</v>
      </c>
      <c r="AC67" s="24" t="str">
        <f t="shared" si="20"/>
        <v/>
      </c>
      <c r="AD67" s="24" t="str">
        <f t="shared" si="21"/>
        <v/>
      </c>
      <c r="AE67" s="24" t="str">
        <f t="shared" si="22"/>
        <v/>
      </c>
      <c r="AF67" s="25" t="s">
        <v>325</v>
      </c>
    </row>
    <row r="68" spans="1:32" x14ac:dyDescent="0.25">
      <c r="A68" s="22" t="s">
        <v>85</v>
      </c>
      <c r="B68" s="22" t="s">
        <v>86</v>
      </c>
      <c r="C68" s="22" t="s">
        <v>67</v>
      </c>
      <c r="D68" s="23">
        <v>0.5</v>
      </c>
      <c r="E68" s="24">
        <v>0</v>
      </c>
      <c r="F68" s="24">
        <v>33000</v>
      </c>
      <c r="G68" s="24">
        <v>5000</v>
      </c>
      <c r="H68" s="24">
        <v>2000</v>
      </c>
      <c r="I68" s="24">
        <v>6000</v>
      </c>
      <c r="J68" s="24">
        <f t="shared" si="23"/>
        <v>0</v>
      </c>
      <c r="K68" s="24">
        <f t="shared" si="24"/>
        <v>16500</v>
      </c>
      <c r="L68" s="24">
        <f t="shared" si="25"/>
        <v>5000</v>
      </c>
      <c r="M68" s="24">
        <f t="shared" si="26"/>
        <v>1000</v>
      </c>
      <c r="N68" s="24">
        <f t="shared" si="27"/>
        <v>3000</v>
      </c>
      <c r="O68" s="24">
        <v>22400</v>
      </c>
      <c r="P68" s="24">
        <v>14330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8"/>
        <v>62230</v>
      </c>
      <c r="AA68" s="24">
        <v>0</v>
      </c>
      <c r="AB68" s="20">
        <f t="shared" si="29"/>
        <v>62230</v>
      </c>
      <c r="AC68" s="24" t="str">
        <f t="shared" si="20"/>
        <v/>
      </c>
      <c r="AD68" s="24" t="str">
        <f t="shared" si="21"/>
        <v/>
      </c>
      <c r="AE68" s="24" t="str">
        <f t="shared" si="22"/>
        <v/>
      </c>
      <c r="AF68" s="25" t="s">
        <v>325</v>
      </c>
    </row>
    <row r="69" spans="1:32" x14ac:dyDescent="0.25">
      <c r="A69" s="22" t="s">
        <v>85</v>
      </c>
      <c r="B69" s="22" t="s">
        <v>87</v>
      </c>
      <c r="C69" s="22" t="s">
        <v>59</v>
      </c>
      <c r="D69" s="23">
        <v>0.25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 t="shared" si="23"/>
        <v>0</v>
      </c>
      <c r="K69" s="24">
        <f t="shared" si="24"/>
        <v>21000</v>
      </c>
      <c r="L69" s="24">
        <f t="shared" si="25"/>
        <v>4000</v>
      </c>
      <c r="M69" s="24">
        <f t="shared" si="26"/>
        <v>0</v>
      </c>
      <c r="N69" s="24">
        <f t="shared" si="27"/>
        <v>3750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8"/>
        <v>69310</v>
      </c>
      <c r="AA69" s="24">
        <v>0</v>
      </c>
      <c r="AB69" s="20">
        <f t="shared" si="29"/>
        <v>69310</v>
      </c>
      <c r="AC69" s="24" t="str">
        <f t="shared" si="20"/>
        <v/>
      </c>
      <c r="AD69" s="24" t="str">
        <f t="shared" si="21"/>
        <v/>
      </c>
      <c r="AE69" s="24" t="str">
        <f t="shared" si="22"/>
        <v/>
      </c>
      <c r="AF69" s="25" t="s">
        <v>325</v>
      </c>
    </row>
    <row r="70" spans="1:32" x14ac:dyDescent="0.25">
      <c r="A70" s="22" t="s">
        <v>353</v>
      </c>
      <c r="B70" s="22" t="s">
        <v>354</v>
      </c>
      <c r="C70" s="22" t="s">
        <v>252</v>
      </c>
      <c r="D70" s="23">
        <v>0</v>
      </c>
      <c r="E70" s="24">
        <v>2000</v>
      </c>
      <c r="F70" s="24">
        <v>26000</v>
      </c>
      <c r="G70" s="24">
        <v>2000</v>
      </c>
      <c r="H70" s="24">
        <v>0</v>
      </c>
      <c r="I70" s="24">
        <v>0</v>
      </c>
      <c r="J70" s="24">
        <f t="shared" si="23"/>
        <v>2000</v>
      </c>
      <c r="K70" s="24">
        <f t="shared" si="24"/>
        <v>26000</v>
      </c>
      <c r="L70" s="24">
        <f t="shared" si="25"/>
        <v>2000</v>
      </c>
      <c r="M70" s="24">
        <f t="shared" si="26"/>
        <v>0</v>
      </c>
      <c r="N70" s="24">
        <f t="shared" si="27"/>
        <v>0</v>
      </c>
      <c r="O70" s="24">
        <v>0</v>
      </c>
      <c r="P70" s="24">
        <v>3050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8"/>
        <v>33050</v>
      </c>
      <c r="AA70" s="24">
        <v>0</v>
      </c>
      <c r="AB70" s="20">
        <f t="shared" si="29"/>
        <v>33050</v>
      </c>
      <c r="AC70" s="24" t="str">
        <f t="shared" si="20"/>
        <v/>
      </c>
      <c r="AD70" s="24" t="str">
        <f t="shared" si="21"/>
        <v/>
      </c>
      <c r="AE70" s="24" t="str">
        <f t="shared" si="22"/>
        <v/>
      </c>
      <c r="AF70" s="24"/>
    </row>
    <row r="71" spans="1:32" x14ac:dyDescent="0.25">
      <c r="A71" s="22" t="s">
        <v>195</v>
      </c>
      <c r="B71" s="22" t="s">
        <v>196</v>
      </c>
      <c r="C71" s="22" t="s">
        <v>36</v>
      </c>
      <c r="D71" s="23">
        <v>0</v>
      </c>
      <c r="E71" s="24">
        <v>0</v>
      </c>
      <c r="F71" s="24">
        <v>33000</v>
      </c>
      <c r="G71" s="24">
        <v>5000</v>
      </c>
      <c r="H71" s="24">
        <v>2000</v>
      </c>
      <c r="I71" s="24">
        <v>6000</v>
      </c>
      <c r="J71" s="24">
        <f t="shared" si="23"/>
        <v>0</v>
      </c>
      <c r="K71" s="24">
        <f t="shared" si="24"/>
        <v>33000</v>
      </c>
      <c r="L71" s="24">
        <f t="shared" si="25"/>
        <v>5000</v>
      </c>
      <c r="M71" s="24">
        <f t="shared" si="26"/>
        <v>2000</v>
      </c>
      <c r="N71" s="24">
        <f t="shared" si="27"/>
        <v>6000</v>
      </c>
      <c r="O71" s="24">
        <v>19500</v>
      </c>
      <c r="P71" s="24">
        <v>14330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8"/>
        <v>79830</v>
      </c>
      <c r="AA71" s="24">
        <v>0</v>
      </c>
      <c r="AB71" s="20">
        <f t="shared" si="29"/>
        <v>79830</v>
      </c>
      <c r="AC71" s="24" t="str">
        <f t="shared" si="20"/>
        <v/>
      </c>
      <c r="AD71" s="24" t="str">
        <f t="shared" si="21"/>
        <v/>
      </c>
      <c r="AE71" s="24" t="str">
        <f t="shared" si="22"/>
        <v/>
      </c>
      <c r="AF71" s="25" t="s">
        <v>325</v>
      </c>
    </row>
    <row r="72" spans="1:32" x14ac:dyDescent="0.25">
      <c r="A72" s="22" t="s">
        <v>213</v>
      </c>
      <c r="B72" s="22" t="s">
        <v>223</v>
      </c>
      <c r="C72" s="22" t="s">
        <v>49</v>
      </c>
      <c r="D72" s="23">
        <v>0.55000000000000004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3"/>
        <v>0</v>
      </c>
      <c r="K72" s="24">
        <f t="shared" si="24"/>
        <v>11699.999999999998</v>
      </c>
      <c r="L72" s="24">
        <f t="shared" si="25"/>
        <v>4000</v>
      </c>
      <c r="M72" s="24">
        <f t="shared" si="26"/>
        <v>449.99999999999994</v>
      </c>
      <c r="N72" s="24">
        <f t="shared" si="27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8"/>
        <v>28290</v>
      </c>
      <c r="AA72" s="24">
        <v>29640</v>
      </c>
      <c r="AB72" s="20">
        <f t="shared" si="29"/>
        <v>-1350</v>
      </c>
      <c r="AC72" s="24" t="str">
        <f t="shared" si="20"/>
        <v/>
      </c>
      <c r="AD72" s="24" t="str">
        <f t="shared" si="21"/>
        <v/>
      </c>
      <c r="AE72" s="24" t="str">
        <f t="shared" si="22"/>
        <v/>
      </c>
      <c r="AF72" s="25" t="s">
        <v>326</v>
      </c>
    </row>
    <row r="73" spans="1:32" x14ac:dyDescent="0.25">
      <c r="A73" s="22" t="s">
        <v>157</v>
      </c>
      <c r="B73" s="22" t="s">
        <v>73</v>
      </c>
      <c r="C73" s="22" t="s">
        <v>44</v>
      </c>
      <c r="D73" s="23">
        <v>0.5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3"/>
        <v>0</v>
      </c>
      <c r="K73" s="24">
        <f t="shared" si="24"/>
        <v>13000</v>
      </c>
      <c r="L73" s="24">
        <f t="shared" si="25"/>
        <v>4000</v>
      </c>
      <c r="M73" s="24">
        <f t="shared" si="26"/>
        <v>0</v>
      </c>
      <c r="N73" s="24">
        <f t="shared" si="27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8000</v>
      </c>
      <c r="Z73" s="24">
        <f t="shared" si="28"/>
        <v>45930</v>
      </c>
      <c r="AA73" s="24">
        <v>0</v>
      </c>
      <c r="AB73" s="20">
        <f t="shared" si="29"/>
        <v>45930</v>
      </c>
      <c r="AC73" s="24" t="str">
        <f t="shared" si="20"/>
        <v/>
      </c>
      <c r="AD73" s="24" t="str">
        <f t="shared" si="21"/>
        <v/>
      </c>
      <c r="AE73" s="24" t="str">
        <f t="shared" si="22"/>
        <v/>
      </c>
      <c r="AF73" s="25" t="s">
        <v>325</v>
      </c>
    </row>
    <row r="74" spans="1:32" x14ac:dyDescent="0.25">
      <c r="A74" s="22" t="s">
        <v>157</v>
      </c>
      <c r="B74" s="22" t="s">
        <v>158</v>
      </c>
      <c r="C74" s="22" t="s">
        <v>44</v>
      </c>
      <c r="D74" s="23">
        <v>0.5</v>
      </c>
      <c r="E74" s="24">
        <v>0</v>
      </c>
      <c r="F74" s="24">
        <v>26000</v>
      </c>
      <c r="G74" s="24">
        <v>4000</v>
      </c>
      <c r="H74" s="24">
        <v>0</v>
      </c>
      <c r="I74" s="24">
        <v>0</v>
      </c>
      <c r="J74" s="24">
        <f t="shared" si="23"/>
        <v>0</v>
      </c>
      <c r="K74" s="24">
        <f t="shared" si="24"/>
        <v>13000</v>
      </c>
      <c r="L74" s="24">
        <f t="shared" si="25"/>
        <v>4000</v>
      </c>
      <c r="M74" s="24">
        <f t="shared" si="26"/>
        <v>0</v>
      </c>
      <c r="N74" s="24">
        <f t="shared" si="27"/>
        <v>0</v>
      </c>
      <c r="O74" s="24">
        <v>13380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8000</v>
      </c>
      <c r="Z74" s="24">
        <f t="shared" si="28"/>
        <v>45930</v>
      </c>
      <c r="AA74" s="24">
        <v>0</v>
      </c>
      <c r="AB74" s="20">
        <f t="shared" si="29"/>
        <v>45930</v>
      </c>
      <c r="AC74" s="24" t="str">
        <f t="shared" si="20"/>
        <v/>
      </c>
      <c r="AD74" s="24" t="str">
        <f t="shared" si="21"/>
        <v/>
      </c>
      <c r="AE74" s="24" t="str">
        <f t="shared" si="22"/>
        <v/>
      </c>
      <c r="AF74" s="25" t="s">
        <v>325</v>
      </c>
    </row>
    <row r="75" spans="1:32" x14ac:dyDescent="0.25">
      <c r="A75" s="22" t="s">
        <v>157</v>
      </c>
      <c r="B75" s="22" t="s">
        <v>222</v>
      </c>
      <c r="C75" s="22" t="s">
        <v>59</v>
      </c>
      <c r="D75" s="23">
        <v>0.5</v>
      </c>
      <c r="E75" s="24">
        <v>0</v>
      </c>
      <c r="F75" s="24">
        <v>28000</v>
      </c>
      <c r="G75" s="24">
        <v>4000</v>
      </c>
      <c r="H75" s="24">
        <v>0</v>
      </c>
      <c r="I75" s="24">
        <v>5000</v>
      </c>
      <c r="J75" s="24">
        <f t="shared" si="23"/>
        <v>0</v>
      </c>
      <c r="K75" s="24">
        <f t="shared" si="24"/>
        <v>14000</v>
      </c>
      <c r="L75" s="24">
        <f t="shared" si="25"/>
        <v>4000</v>
      </c>
      <c r="M75" s="24">
        <f t="shared" si="26"/>
        <v>0</v>
      </c>
      <c r="N75" s="24">
        <f t="shared" si="27"/>
        <v>2500</v>
      </c>
      <c r="O75" s="24">
        <v>27330</v>
      </c>
      <c r="P75" s="24">
        <v>13230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8080</v>
      </c>
      <c r="Z75" s="24">
        <f t="shared" si="28"/>
        <v>69140</v>
      </c>
      <c r="AA75" s="24">
        <v>0</v>
      </c>
      <c r="AB75" s="20">
        <f t="shared" si="29"/>
        <v>69140</v>
      </c>
      <c r="AC75" s="24" t="str">
        <f t="shared" si="20"/>
        <v/>
      </c>
      <c r="AD75" s="24" t="str">
        <f t="shared" si="21"/>
        <v/>
      </c>
      <c r="AE75" s="24" t="str">
        <f t="shared" si="22"/>
        <v/>
      </c>
      <c r="AF75" s="25" t="s">
        <v>325</v>
      </c>
    </row>
    <row r="76" spans="1:32" x14ac:dyDescent="0.25">
      <c r="A76" s="22" t="s">
        <v>171</v>
      </c>
      <c r="B76" s="22" t="s">
        <v>172</v>
      </c>
      <c r="C76" s="22" t="s">
        <v>49</v>
      </c>
      <c r="D76" s="23">
        <v>0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 t="shared" si="23"/>
        <v>0</v>
      </c>
      <c r="K76" s="24">
        <f t="shared" si="24"/>
        <v>26000</v>
      </c>
      <c r="L76" s="24">
        <f t="shared" si="25"/>
        <v>4000</v>
      </c>
      <c r="M76" s="24">
        <f t="shared" si="26"/>
        <v>1000</v>
      </c>
      <c r="N76" s="24">
        <f t="shared" si="27"/>
        <v>0</v>
      </c>
      <c r="O76" s="24">
        <v>6840</v>
      </c>
      <c r="P76" s="24">
        <v>5300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 t="shared" si="28"/>
        <v>43140</v>
      </c>
      <c r="AA76" s="24">
        <v>0</v>
      </c>
      <c r="AB76" s="20">
        <f t="shared" si="29"/>
        <v>43140</v>
      </c>
      <c r="AC76" s="24" t="str">
        <f t="shared" si="20"/>
        <v/>
      </c>
      <c r="AD76" s="24" t="str">
        <f t="shared" si="21"/>
        <v/>
      </c>
      <c r="AE76" s="24" t="str">
        <f t="shared" si="22"/>
        <v/>
      </c>
      <c r="AF76" s="25" t="s">
        <v>325</v>
      </c>
    </row>
    <row r="77" spans="1:32" x14ac:dyDescent="0.25">
      <c r="A77" s="22" t="s">
        <v>88</v>
      </c>
      <c r="B77" s="22" t="s">
        <v>206</v>
      </c>
      <c r="C77" s="22" t="s">
        <v>47</v>
      </c>
      <c r="D77" s="23">
        <v>0.25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 t="shared" si="23"/>
        <v>0</v>
      </c>
      <c r="K77" s="24">
        <f t="shared" si="24"/>
        <v>19500</v>
      </c>
      <c r="L77" s="24">
        <f t="shared" si="25"/>
        <v>4000</v>
      </c>
      <c r="M77" s="24">
        <f t="shared" si="26"/>
        <v>0</v>
      </c>
      <c r="N77" s="24">
        <f t="shared" si="27"/>
        <v>0</v>
      </c>
      <c r="O77" s="24">
        <v>24930</v>
      </c>
      <c r="P77" s="24">
        <v>10730</v>
      </c>
      <c r="Q77" s="24">
        <v>0</v>
      </c>
      <c r="R77" s="24">
        <v>0</v>
      </c>
      <c r="S77" s="24">
        <v>0</v>
      </c>
      <c r="T77" s="24">
        <v>6000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 t="shared" si="28"/>
        <v>65160</v>
      </c>
      <c r="AA77" s="24">
        <v>65160</v>
      </c>
      <c r="AB77" s="20">
        <f t="shared" si="29"/>
        <v>0</v>
      </c>
      <c r="AC77" s="24">
        <f t="shared" si="20"/>
        <v>6000</v>
      </c>
      <c r="AD77" s="24" t="str">
        <f t="shared" si="21"/>
        <v/>
      </c>
      <c r="AE77" s="24" t="str">
        <f t="shared" si="22"/>
        <v/>
      </c>
      <c r="AF77" s="25" t="s">
        <v>325</v>
      </c>
    </row>
    <row r="78" spans="1:32" x14ac:dyDescent="0.25">
      <c r="A78" s="22" t="s">
        <v>88</v>
      </c>
      <c r="B78" s="22" t="s">
        <v>219</v>
      </c>
      <c r="C78" s="22" t="s">
        <v>49</v>
      </c>
      <c r="D78" s="23">
        <v>0.25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 t="shared" si="23"/>
        <v>0</v>
      </c>
      <c r="K78" s="24">
        <f t="shared" si="24"/>
        <v>19500</v>
      </c>
      <c r="L78" s="24">
        <f t="shared" si="25"/>
        <v>4000</v>
      </c>
      <c r="M78" s="24">
        <f t="shared" si="26"/>
        <v>750</v>
      </c>
      <c r="N78" s="24">
        <f t="shared" si="27"/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-500</v>
      </c>
      <c r="Z78" s="24">
        <f t="shared" si="28"/>
        <v>35890</v>
      </c>
      <c r="AA78" s="24">
        <v>35890</v>
      </c>
      <c r="AB78" s="20">
        <f t="shared" si="29"/>
        <v>0</v>
      </c>
      <c r="AC78" s="24" t="str">
        <f t="shared" si="20"/>
        <v/>
      </c>
      <c r="AD78" s="24" t="str">
        <f t="shared" si="21"/>
        <v/>
      </c>
      <c r="AE78" s="24" t="str">
        <f t="shared" si="22"/>
        <v/>
      </c>
      <c r="AF78" s="25" t="s">
        <v>325</v>
      </c>
    </row>
    <row r="79" spans="1:32" x14ac:dyDescent="0.25">
      <c r="A79" s="22" t="s">
        <v>159</v>
      </c>
      <c r="B79" s="22" t="s">
        <v>160</v>
      </c>
      <c r="C79" s="22" t="s">
        <v>44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23"/>
        <v>0</v>
      </c>
      <c r="K79" s="24">
        <f t="shared" si="24"/>
        <v>19500</v>
      </c>
      <c r="L79" s="24">
        <f t="shared" si="25"/>
        <v>4000</v>
      </c>
      <c r="M79" s="24">
        <f t="shared" si="26"/>
        <v>0</v>
      </c>
      <c r="N79" s="24">
        <f t="shared" si="27"/>
        <v>0</v>
      </c>
      <c r="O79" s="24">
        <v>13380</v>
      </c>
      <c r="P79" s="24">
        <v>7550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 t="shared" si="28"/>
        <v>50430</v>
      </c>
      <c r="AA79" s="24">
        <v>0</v>
      </c>
      <c r="AB79" s="20">
        <f t="shared" si="29"/>
        <v>50430</v>
      </c>
      <c r="AC79" s="24" t="str">
        <f t="shared" si="20"/>
        <v/>
      </c>
      <c r="AD79" s="24" t="str">
        <f t="shared" si="21"/>
        <v/>
      </c>
      <c r="AE79" s="24" t="str">
        <f t="shared" si="22"/>
        <v/>
      </c>
      <c r="AF79" s="25" t="s">
        <v>325</v>
      </c>
    </row>
    <row r="80" spans="1:32" x14ac:dyDescent="0.25">
      <c r="A80" s="22" t="s">
        <v>159</v>
      </c>
      <c r="B80" s="22" t="s">
        <v>215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23"/>
        <v>0</v>
      </c>
      <c r="K80" s="24">
        <f t="shared" si="24"/>
        <v>19500</v>
      </c>
      <c r="L80" s="24">
        <f t="shared" si="25"/>
        <v>4000</v>
      </c>
      <c r="M80" s="24">
        <f t="shared" si="26"/>
        <v>750</v>
      </c>
      <c r="N80" s="24">
        <f t="shared" si="27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8"/>
        <v>36390</v>
      </c>
      <c r="AA80" s="24">
        <v>0</v>
      </c>
      <c r="AB80" s="20">
        <f t="shared" si="29"/>
        <v>36390</v>
      </c>
      <c r="AC80" s="24" t="str">
        <f t="shared" si="20"/>
        <v/>
      </c>
      <c r="AD80" s="24" t="str">
        <f t="shared" si="21"/>
        <v/>
      </c>
      <c r="AE80" s="24" t="str">
        <f t="shared" si="22"/>
        <v/>
      </c>
      <c r="AF80" s="25" t="s">
        <v>325</v>
      </c>
    </row>
    <row r="81" spans="1:32" x14ac:dyDescent="0.25">
      <c r="A81" s="22" t="s">
        <v>161</v>
      </c>
      <c r="B81" s="22" t="s">
        <v>163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3"/>
        <v>0</v>
      </c>
      <c r="K81" s="24">
        <f t="shared" si="24"/>
        <v>19500</v>
      </c>
      <c r="L81" s="24">
        <f t="shared" si="25"/>
        <v>4000</v>
      </c>
      <c r="M81" s="24">
        <f t="shared" si="26"/>
        <v>0</v>
      </c>
      <c r="N81" s="24">
        <f t="shared" si="27"/>
        <v>0</v>
      </c>
      <c r="O81" s="24">
        <v>13380</v>
      </c>
      <c r="P81" s="24">
        <v>7550</v>
      </c>
      <c r="Q81" s="24">
        <v>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 t="shared" si="28"/>
        <v>50430</v>
      </c>
      <c r="AA81" s="24">
        <v>25000</v>
      </c>
      <c r="AB81" s="20">
        <f t="shared" si="29"/>
        <v>25430</v>
      </c>
      <c r="AC81" s="24" t="str">
        <f t="shared" si="20"/>
        <v/>
      </c>
      <c r="AD81" s="24" t="str">
        <f t="shared" si="21"/>
        <v/>
      </c>
      <c r="AE81" s="24" t="str">
        <f t="shared" si="22"/>
        <v/>
      </c>
      <c r="AF81" s="25" t="s">
        <v>325</v>
      </c>
    </row>
    <row r="82" spans="1:32" x14ac:dyDescent="0.25">
      <c r="A82" s="22" t="s">
        <v>161</v>
      </c>
      <c r="B82" s="22" t="s">
        <v>162</v>
      </c>
      <c r="C82" s="22" t="s">
        <v>46</v>
      </c>
      <c r="D82" s="23">
        <v>0.25</v>
      </c>
      <c r="E82" s="24">
        <v>0</v>
      </c>
      <c r="F82" s="24">
        <v>28000</v>
      </c>
      <c r="G82" s="24">
        <v>4000</v>
      </c>
      <c r="H82" s="24">
        <v>0</v>
      </c>
      <c r="I82" s="24">
        <v>5000</v>
      </c>
      <c r="J82" s="24">
        <f t="shared" si="23"/>
        <v>0</v>
      </c>
      <c r="K82" s="24">
        <f t="shared" si="24"/>
        <v>21000</v>
      </c>
      <c r="L82" s="24">
        <f t="shared" si="25"/>
        <v>4000</v>
      </c>
      <c r="M82" s="24">
        <f t="shared" si="26"/>
        <v>0</v>
      </c>
      <c r="N82" s="24">
        <f t="shared" si="27"/>
        <v>3750</v>
      </c>
      <c r="O82" s="24">
        <v>27310</v>
      </c>
      <c r="P82" s="24">
        <v>13230</v>
      </c>
      <c r="Q82" s="24">
        <v>0</v>
      </c>
      <c r="R82" s="24">
        <v>0</v>
      </c>
      <c r="S82" s="24">
        <v>0</v>
      </c>
      <c r="T82" s="24">
        <v>6000</v>
      </c>
      <c r="U82" s="24">
        <v>0</v>
      </c>
      <c r="V82" s="24">
        <v>0</v>
      </c>
      <c r="W82" s="24">
        <v>0</v>
      </c>
      <c r="X82" s="24">
        <v>0</v>
      </c>
      <c r="Y82" s="24">
        <v>-695</v>
      </c>
      <c r="Z82" s="24">
        <f t="shared" si="28"/>
        <v>74595</v>
      </c>
      <c r="AA82" s="24">
        <v>25000</v>
      </c>
      <c r="AB82" s="20">
        <f t="shared" si="29"/>
        <v>49595</v>
      </c>
      <c r="AC82" s="24" t="str">
        <f t="shared" si="20"/>
        <v/>
      </c>
      <c r="AD82" s="24" t="str">
        <f t="shared" si="21"/>
        <v/>
      </c>
      <c r="AE82" s="24" t="str">
        <f t="shared" si="22"/>
        <v/>
      </c>
      <c r="AF82" s="25" t="s">
        <v>325</v>
      </c>
    </row>
    <row r="83" spans="1:32" x14ac:dyDescent="0.25">
      <c r="A83" s="22" t="s">
        <v>351</v>
      </c>
      <c r="B83" s="22" t="s">
        <v>352</v>
      </c>
      <c r="C83" s="22" t="s">
        <v>48</v>
      </c>
      <c r="D83" s="23">
        <v>0</v>
      </c>
      <c r="E83" s="24">
        <v>2000</v>
      </c>
      <c r="F83" s="24">
        <v>28000</v>
      </c>
      <c r="G83" s="24">
        <v>4000</v>
      </c>
      <c r="H83" s="24">
        <v>2500</v>
      </c>
      <c r="I83" s="24">
        <v>5000</v>
      </c>
      <c r="J83" s="24">
        <f t="shared" si="23"/>
        <v>2000</v>
      </c>
      <c r="K83" s="24">
        <f t="shared" si="24"/>
        <v>28000</v>
      </c>
      <c r="L83" s="24">
        <f t="shared" si="25"/>
        <v>4000</v>
      </c>
      <c r="M83" s="24">
        <f t="shared" si="26"/>
        <v>2500</v>
      </c>
      <c r="N83" s="24">
        <f t="shared" si="27"/>
        <v>5000</v>
      </c>
      <c r="O83" s="24">
        <v>26150</v>
      </c>
      <c r="P83" s="24">
        <v>11330</v>
      </c>
      <c r="Q83" s="24">
        <v>16000</v>
      </c>
      <c r="R83" s="24">
        <v>8000</v>
      </c>
      <c r="S83" s="24">
        <v>7000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8"/>
        <v>115980</v>
      </c>
      <c r="AA83" s="24">
        <v>116000</v>
      </c>
      <c r="AB83" s="20">
        <f t="shared" si="29"/>
        <v>-20</v>
      </c>
      <c r="AC83" s="24">
        <f t="shared" si="20"/>
        <v>6000</v>
      </c>
      <c r="AD83" s="24" t="str">
        <f t="shared" si="21"/>
        <v/>
      </c>
      <c r="AE83" s="24" t="str">
        <f t="shared" si="22"/>
        <v/>
      </c>
      <c r="AF83" s="24"/>
    </row>
    <row r="84" spans="1:32" x14ac:dyDescent="0.25">
      <c r="A84" s="22" t="s">
        <v>237</v>
      </c>
      <c r="B84" s="22" t="s">
        <v>238</v>
      </c>
      <c r="C84" s="22" t="s">
        <v>44</v>
      </c>
      <c r="D84" s="23">
        <v>0</v>
      </c>
      <c r="E84" s="24">
        <v>0</v>
      </c>
      <c r="F84" s="24">
        <v>26000</v>
      </c>
      <c r="G84" s="24">
        <v>4000</v>
      </c>
      <c r="H84" s="24">
        <v>0</v>
      </c>
      <c r="I84" s="24">
        <v>0</v>
      </c>
      <c r="J84" s="24">
        <f t="shared" si="23"/>
        <v>0</v>
      </c>
      <c r="K84" s="24">
        <f t="shared" si="24"/>
        <v>26000</v>
      </c>
      <c r="L84" s="24">
        <f t="shared" si="25"/>
        <v>4000</v>
      </c>
      <c r="M84" s="24">
        <f t="shared" si="26"/>
        <v>0</v>
      </c>
      <c r="N84" s="24">
        <f t="shared" si="27"/>
        <v>0</v>
      </c>
      <c r="O84" s="24">
        <v>13380</v>
      </c>
      <c r="P84" s="24">
        <v>7550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14000</v>
      </c>
      <c r="Z84" s="24">
        <f t="shared" si="28"/>
        <v>64930</v>
      </c>
      <c r="AA84" s="24">
        <v>0</v>
      </c>
      <c r="AB84" s="20">
        <f t="shared" si="29"/>
        <v>64930</v>
      </c>
      <c r="AC84" s="24" t="str">
        <f t="shared" si="20"/>
        <v/>
      </c>
      <c r="AD84" s="24" t="str">
        <f t="shared" si="21"/>
        <v/>
      </c>
      <c r="AE84" s="24" t="str">
        <f t="shared" si="22"/>
        <v/>
      </c>
      <c r="AF84" s="25" t="s">
        <v>325</v>
      </c>
    </row>
    <row r="85" spans="1:32" x14ac:dyDescent="0.25">
      <c r="A85" s="22" t="s">
        <v>89</v>
      </c>
      <c r="B85" s="22" t="s">
        <v>92</v>
      </c>
      <c r="C85" s="22" t="s">
        <v>36</v>
      </c>
      <c r="D85" s="23">
        <v>0.3</v>
      </c>
      <c r="E85" s="24">
        <v>0</v>
      </c>
      <c r="F85" s="24">
        <v>33000</v>
      </c>
      <c r="G85" s="24">
        <v>5000</v>
      </c>
      <c r="H85" s="24">
        <v>2000</v>
      </c>
      <c r="I85" s="24">
        <v>6000</v>
      </c>
      <c r="J85" s="24">
        <f t="shared" si="23"/>
        <v>0</v>
      </c>
      <c r="K85" s="24">
        <f t="shared" si="24"/>
        <v>23100</v>
      </c>
      <c r="L85" s="24">
        <f t="shared" si="25"/>
        <v>5000</v>
      </c>
      <c r="M85" s="24">
        <f t="shared" si="26"/>
        <v>1400</v>
      </c>
      <c r="N85" s="24">
        <f t="shared" si="27"/>
        <v>4200</v>
      </c>
      <c r="O85" s="24">
        <v>19500</v>
      </c>
      <c r="P85" s="24">
        <v>14330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8"/>
        <v>67530</v>
      </c>
      <c r="AA85" s="24">
        <v>0</v>
      </c>
      <c r="AB85" s="20">
        <f t="shared" si="29"/>
        <v>67530</v>
      </c>
      <c r="AC85" s="24" t="str">
        <f t="shared" si="20"/>
        <v/>
      </c>
      <c r="AD85" s="24" t="str">
        <f t="shared" si="21"/>
        <v/>
      </c>
      <c r="AE85" s="24" t="str">
        <f t="shared" si="22"/>
        <v/>
      </c>
      <c r="AF85" s="25" t="s">
        <v>325</v>
      </c>
    </row>
    <row r="86" spans="1:32" x14ac:dyDescent="0.25">
      <c r="A86" s="22" t="s">
        <v>89</v>
      </c>
      <c r="B86" s="22" t="s">
        <v>91</v>
      </c>
      <c r="C86" s="22" t="s">
        <v>46</v>
      </c>
      <c r="D86" s="23">
        <v>0.25</v>
      </c>
      <c r="E86" s="24">
        <v>0</v>
      </c>
      <c r="F86" s="24">
        <v>28000</v>
      </c>
      <c r="G86" s="24">
        <v>4000</v>
      </c>
      <c r="H86" s="24">
        <v>0</v>
      </c>
      <c r="I86" s="24">
        <v>5000</v>
      </c>
      <c r="J86" s="24">
        <f t="shared" si="23"/>
        <v>0</v>
      </c>
      <c r="K86" s="24">
        <f t="shared" si="24"/>
        <v>21000</v>
      </c>
      <c r="L86" s="24">
        <f t="shared" si="25"/>
        <v>4000</v>
      </c>
      <c r="M86" s="24">
        <f t="shared" si="26"/>
        <v>0</v>
      </c>
      <c r="N86" s="24">
        <f t="shared" si="27"/>
        <v>3750</v>
      </c>
      <c r="O86" s="24">
        <v>27310</v>
      </c>
      <c r="P86" s="24">
        <v>13230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450</v>
      </c>
      <c r="Z86" s="24">
        <f t="shared" si="28"/>
        <v>69740</v>
      </c>
      <c r="AA86" s="24">
        <v>0</v>
      </c>
      <c r="AB86" s="20">
        <f t="shared" si="29"/>
        <v>69740</v>
      </c>
      <c r="AC86" s="24" t="str">
        <f t="shared" si="20"/>
        <v/>
      </c>
      <c r="AD86" s="24" t="str">
        <f t="shared" si="21"/>
        <v/>
      </c>
      <c r="AE86" s="24" t="str">
        <f t="shared" si="22"/>
        <v/>
      </c>
      <c r="AF86" s="25" t="s">
        <v>325</v>
      </c>
    </row>
    <row r="87" spans="1:32" x14ac:dyDescent="0.25">
      <c r="A87" s="22" t="s">
        <v>89</v>
      </c>
      <c r="B87" s="22" t="s">
        <v>90</v>
      </c>
      <c r="C87" s="22" t="s">
        <v>70</v>
      </c>
      <c r="D87" s="23">
        <v>1</v>
      </c>
      <c r="E87" s="24">
        <v>0</v>
      </c>
      <c r="F87" s="24">
        <v>40000</v>
      </c>
      <c r="G87" s="24">
        <v>5000</v>
      </c>
      <c r="H87" s="24">
        <v>2000</v>
      </c>
      <c r="I87" s="24">
        <v>8000</v>
      </c>
      <c r="J87" s="24">
        <f t="shared" si="23"/>
        <v>0</v>
      </c>
      <c r="K87" s="24">
        <f t="shared" si="24"/>
        <v>0</v>
      </c>
      <c r="L87" s="24">
        <f t="shared" si="25"/>
        <v>5000</v>
      </c>
      <c r="M87" s="24">
        <f t="shared" si="26"/>
        <v>0</v>
      </c>
      <c r="N87" s="24">
        <f t="shared" si="27"/>
        <v>0</v>
      </c>
      <c r="O87" s="24">
        <v>11880</v>
      </c>
      <c r="P87" s="24">
        <v>14330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8"/>
        <v>31210</v>
      </c>
      <c r="AA87" s="24">
        <v>0</v>
      </c>
      <c r="AB87" s="20">
        <f t="shared" si="29"/>
        <v>31210</v>
      </c>
      <c r="AC87" s="24" t="str">
        <f t="shared" ref="AC87:AC118" si="30">IF(AND($T87=6000, ($T87+$W87-$AB87)&gt;=6000),T87,"")</f>
        <v/>
      </c>
      <c r="AD87" s="24" t="str">
        <f t="shared" ref="AD87:AD118" si="31">IF(AND($T87=8000, ($T87+$W87-$AB87)&gt;=8000),T87,"")</f>
        <v/>
      </c>
      <c r="AE87" s="24" t="str">
        <f t="shared" ref="AE87:AE118" si="32">IF(($T87+$W87-$AB87)&gt;=$T87+8000,W87,"")</f>
        <v/>
      </c>
      <c r="AF87" s="25" t="s">
        <v>325</v>
      </c>
    </row>
    <row r="88" spans="1:32" x14ac:dyDescent="0.25">
      <c r="A88" s="22" t="s">
        <v>93</v>
      </c>
      <c r="B88" s="22" t="s">
        <v>94</v>
      </c>
      <c r="C88" s="22" t="s">
        <v>44</v>
      </c>
      <c r="D88" s="23">
        <v>0</v>
      </c>
      <c r="E88" s="24">
        <v>0</v>
      </c>
      <c r="F88" s="24">
        <v>26000</v>
      </c>
      <c r="G88" s="24">
        <v>4000</v>
      </c>
      <c r="H88" s="24">
        <v>0</v>
      </c>
      <c r="I88" s="24">
        <v>0</v>
      </c>
      <c r="J88" s="24">
        <f t="shared" si="23"/>
        <v>0</v>
      </c>
      <c r="K88" s="24">
        <f t="shared" si="24"/>
        <v>26000</v>
      </c>
      <c r="L88" s="24">
        <f t="shared" si="25"/>
        <v>4000</v>
      </c>
      <c r="M88" s="24">
        <f t="shared" si="26"/>
        <v>0</v>
      </c>
      <c r="N88" s="24">
        <f t="shared" si="27"/>
        <v>0</v>
      </c>
      <c r="O88" s="24">
        <v>13380</v>
      </c>
      <c r="P88" s="24">
        <v>7550</v>
      </c>
      <c r="Q88" s="24">
        <v>8000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7000</v>
      </c>
      <c r="Z88" s="24">
        <f t="shared" si="28"/>
        <v>65930</v>
      </c>
      <c r="AA88" s="24">
        <v>0</v>
      </c>
      <c r="AB88" s="20">
        <f t="shared" si="29"/>
        <v>65930</v>
      </c>
      <c r="AC88" s="24" t="str">
        <f t="shared" si="30"/>
        <v/>
      </c>
      <c r="AD88" s="24" t="str">
        <f t="shared" si="31"/>
        <v/>
      </c>
      <c r="AE88" s="24" t="str">
        <f t="shared" si="32"/>
        <v/>
      </c>
      <c r="AF88" s="25" t="s">
        <v>325</v>
      </c>
    </row>
    <row r="89" spans="1:32" x14ac:dyDescent="0.25">
      <c r="A89" s="22" t="s">
        <v>207</v>
      </c>
      <c r="B89" s="22" t="s">
        <v>217</v>
      </c>
      <c r="C89" s="22" t="s">
        <v>49</v>
      </c>
      <c r="D89" s="23">
        <v>0.25</v>
      </c>
      <c r="E89" s="24">
        <v>0</v>
      </c>
      <c r="F89" s="24">
        <v>26000</v>
      </c>
      <c r="G89" s="24">
        <v>4000</v>
      </c>
      <c r="H89" s="24">
        <v>1000</v>
      </c>
      <c r="I89" s="24">
        <v>0</v>
      </c>
      <c r="J89" s="24">
        <f t="shared" si="23"/>
        <v>0</v>
      </c>
      <c r="K89" s="24">
        <f t="shared" si="24"/>
        <v>19500</v>
      </c>
      <c r="L89" s="24">
        <f t="shared" si="25"/>
        <v>4000</v>
      </c>
      <c r="M89" s="24">
        <f t="shared" si="26"/>
        <v>750</v>
      </c>
      <c r="N89" s="24">
        <f t="shared" si="27"/>
        <v>0</v>
      </c>
      <c r="O89" s="24">
        <v>6840</v>
      </c>
      <c r="P89" s="24">
        <v>5300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19200</v>
      </c>
      <c r="Z89" s="24">
        <f t="shared" si="28"/>
        <v>55590</v>
      </c>
      <c r="AA89" s="24">
        <v>0</v>
      </c>
      <c r="AB89" s="20">
        <f t="shared" si="29"/>
        <v>55590</v>
      </c>
      <c r="AC89" s="24" t="str">
        <f t="shared" si="30"/>
        <v/>
      </c>
      <c r="AD89" s="24" t="str">
        <f t="shared" si="31"/>
        <v/>
      </c>
      <c r="AE89" s="24" t="str">
        <f t="shared" si="32"/>
        <v/>
      </c>
      <c r="AF89" s="25" t="s">
        <v>325</v>
      </c>
    </row>
    <row r="90" spans="1:32" x14ac:dyDescent="0.25">
      <c r="A90" s="22" t="s">
        <v>207</v>
      </c>
      <c r="B90" s="22" t="s">
        <v>216</v>
      </c>
      <c r="C90" s="22" t="s">
        <v>49</v>
      </c>
      <c r="D90" s="23">
        <v>0.25</v>
      </c>
      <c r="E90" s="24">
        <v>0</v>
      </c>
      <c r="F90" s="24">
        <v>26000</v>
      </c>
      <c r="G90" s="24">
        <v>4000</v>
      </c>
      <c r="H90" s="24">
        <v>1000</v>
      </c>
      <c r="I90" s="24">
        <v>0</v>
      </c>
      <c r="J90" s="24">
        <f t="shared" si="23"/>
        <v>0</v>
      </c>
      <c r="K90" s="24">
        <f t="shared" si="24"/>
        <v>19500</v>
      </c>
      <c r="L90" s="24">
        <f t="shared" si="25"/>
        <v>4000</v>
      </c>
      <c r="M90" s="24">
        <f t="shared" si="26"/>
        <v>750</v>
      </c>
      <c r="N90" s="24">
        <f t="shared" si="27"/>
        <v>0</v>
      </c>
      <c r="O90" s="24">
        <v>6840</v>
      </c>
      <c r="P90" s="24">
        <v>5300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19200</v>
      </c>
      <c r="Z90" s="24">
        <f t="shared" si="28"/>
        <v>55590</v>
      </c>
      <c r="AA90" s="24">
        <v>0</v>
      </c>
      <c r="AB90" s="20">
        <f t="shared" si="29"/>
        <v>55590</v>
      </c>
      <c r="AC90" s="24" t="str">
        <f t="shared" si="30"/>
        <v/>
      </c>
      <c r="AD90" s="24" t="str">
        <f t="shared" si="31"/>
        <v/>
      </c>
      <c r="AE90" s="24" t="str">
        <f t="shared" si="32"/>
        <v/>
      </c>
      <c r="AF90" s="25" t="s">
        <v>325</v>
      </c>
    </row>
    <row r="91" spans="1:32" x14ac:dyDescent="0.25">
      <c r="A91" s="22" t="s">
        <v>349</v>
      </c>
      <c r="B91" s="22" t="s">
        <v>350</v>
      </c>
      <c r="C91" s="22" t="s">
        <v>44</v>
      </c>
      <c r="D91" s="23">
        <v>0</v>
      </c>
      <c r="E91" s="24">
        <v>2000</v>
      </c>
      <c r="F91" s="24">
        <v>26000</v>
      </c>
      <c r="G91" s="24">
        <v>4000</v>
      </c>
      <c r="H91" s="24">
        <v>1000</v>
      </c>
      <c r="I91" s="24">
        <v>0</v>
      </c>
      <c r="J91" s="24">
        <f t="shared" si="23"/>
        <v>2000</v>
      </c>
      <c r="K91" s="24">
        <f t="shared" si="24"/>
        <v>26000</v>
      </c>
      <c r="L91" s="24">
        <f t="shared" si="25"/>
        <v>4000</v>
      </c>
      <c r="M91" s="24">
        <f t="shared" si="26"/>
        <v>1000</v>
      </c>
      <c r="N91" s="24">
        <f t="shared" si="27"/>
        <v>0</v>
      </c>
      <c r="O91" s="24">
        <v>13380</v>
      </c>
      <c r="P91" s="24">
        <v>7550</v>
      </c>
      <c r="Q91" s="24">
        <v>16000</v>
      </c>
      <c r="R91" s="24">
        <v>8000</v>
      </c>
      <c r="S91" s="24">
        <v>7000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8"/>
        <v>84930</v>
      </c>
      <c r="AA91" s="24">
        <v>0</v>
      </c>
      <c r="AB91" s="20">
        <f t="shared" si="29"/>
        <v>84930</v>
      </c>
      <c r="AC91" s="24" t="str">
        <f t="shared" si="30"/>
        <v/>
      </c>
      <c r="AD91" s="24" t="str">
        <f t="shared" si="31"/>
        <v/>
      </c>
      <c r="AE91" s="24" t="str">
        <f t="shared" si="32"/>
        <v/>
      </c>
      <c r="AF91" s="24"/>
    </row>
    <row r="92" spans="1:32" x14ac:dyDescent="0.25">
      <c r="A92" s="22" t="s">
        <v>288</v>
      </c>
      <c r="B92" s="22" t="s">
        <v>290</v>
      </c>
      <c r="C92" s="22" t="s">
        <v>47</v>
      </c>
      <c r="D92" s="23">
        <v>0.25</v>
      </c>
      <c r="E92" s="24">
        <v>2000</v>
      </c>
      <c r="F92" s="24">
        <v>26000</v>
      </c>
      <c r="G92" s="24">
        <v>4000</v>
      </c>
      <c r="H92" s="24">
        <v>1000</v>
      </c>
      <c r="I92" s="24">
        <v>0</v>
      </c>
      <c r="J92" s="24">
        <f t="shared" si="23"/>
        <v>1500</v>
      </c>
      <c r="K92" s="24">
        <f t="shared" si="24"/>
        <v>19500</v>
      </c>
      <c r="L92" s="24">
        <f t="shared" si="25"/>
        <v>4000</v>
      </c>
      <c r="M92" s="24">
        <f t="shared" si="26"/>
        <v>750</v>
      </c>
      <c r="N92" s="24">
        <f t="shared" si="27"/>
        <v>0</v>
      </c>
      <c r="O92" s="24">
        <v>24930</v>
      </c>
      <c r="P92" s="24">
        <v>10730</v>
      </c>
      <c r="Q92" s="24">
        <v>16000</v>
      </c>
      <c r="R92" s="24">
        <v>8000</v>
      </c>
      <c r="S92" s="24">
        <v>7000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8"/>
        <v>92410</v>
      </c>
      <c r="AA92" s="24">
        <v>13670</v>
      </c>
      <c r="AB92" s="20">
        <f t="shared" si="29"/>
        <v>78740</v>
      </c>
      <c r="AC92" s="24" t="str">
        <f t="shared" si="30"/>
        <v/>
      </c>
      <c r="AD92" s="24" t="str">
        <f t="shared" si="31"/>
        <v/>
      </c>
      <c r="AE92" s="24" t="str">
        <f t="shared" si="32"/>
        <v/>
      </c>
      <c r="AF92" s="25" t="s">
        <v>325</v>
      </c>
    </row>
    <row r="93" spans="1:32" x14ac:dyDescent="0.25">
      <c r="A93" s="22" t="s">
        <v>288</v>
      </c>
      <c r="B93" s="22" t="s">
        <v>289</v>
      </c>
      <c r="C93" s="22" t="s">
        <v>49</v>
      </c>
      <c r="D93" s="23">
        <v>0.25</v>
      </c>
      <c r="E93" s="24">
        <v>2000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23"/>
        <v>1500</v>
      </c>
      <c r="K93" s="24">
        <f t="shared" si="24"/>
        <v>19500</v>
      </c>
      <c r="L93" s="24">
        <f t="shared" si="25"/>
        <v>4000</v>
      </c>
      <c r="M93" s="24">
        <f t="shared" si="26"/>
        <v>750</v>
      </c>
      <c r="N93" s="24">
        <f t="shared" si="27"/>
        <v>0</v>
      </c>
      <c r="O93" s="24">
        <v>6840</v>
      </c>
      <c r="P93" s="24">
        <v>5300</v>
      </c>
      <c r="Q93" s="24">
        <v>16000</v>
      </c>
      <c r="R93" s="24">
        <v>8000</v>
      </c>
      <c r="S93" s="24">
        <v>7000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8"/>
        <v>68890</v>
      </c>
      <c r="AA93" s="24">
        <v>81330</v>
      </c>
      <c r="AB93" s="20">
        <f t="shared" si="29"/>
        <v>-12440</v>
      </c>
      <c r="AC93" s="24" t="str">
        <f t="shared" si="30"/>
        <v/>
      </c>
      <c r="AD93" s="24" t="str">
        <f t="shared" si="31"/>
        <v/>
      </c>
      <c r="AE93" s="24">
        <f t="shared" si="32"/>
        <v>0</v>
      </c>
      <c r="AF93" s="25" t="s">
        <v>326</v>
      </c>
    </row>
    <row r="94" spans="1:32" x14ac:dyDescent="0.25">
      <c r="A94" s="22" t="s">
        <v>95</v>
      </c>
      <c r="B94" s="22" t="s">
        <v>96</v>
      </c>
      <c r="C94" s="22" t="s">
        <v>52</v>
      </c>
      <c r="D94" s="23">
        <v>0</v>
      </c>
      <c r="E94" s="24">
        <v>0</v>
      </c>
      <c r="F94" s="24">
        <v>40000</v>
      </c>
      <c r="G94" s="24">
        <v>5000</v>
      </c>
      <c r="H94" s="24">
        <v>2000</v>
      </c>
      <c r="I94" s="24">
        <v>8000</v>
      </c>
      <c r="J94" s="24">
        <f t="shared" si="23"/>
        <v>0</v>
      </c>
      <c r="K94" s="24">
        <f t="shared" si="24"/>
        <v>40000</v>
      </c>
      <c r="L94" s="24">
        <f t="shared" si="25"/>
        <v>5000</v>
      </c>
      <c r="M94" s="24">
        <f t="shared" si="26"/>
        <v>2000</v>
      </c>
      <c r="N94" s="24">
        <f t="shared" si="27"/>
        <v>8000</v>
      </c>
      <c r="O94" s="24">
        <v>11880</v>
      </c>
      <c r="P94" s="24">
        <v>14330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5830</v>
      </c>
      <c r="Z94" s="24">
        <f t="shared" si="28"/>
        <v>87040</v>
      </c>
      <c r="AA94" s="24">
        <v>0</v>
      </c>
      <c r="AB94" s="20">
        <f t="shared" si="29"/>
        <v>87040</v>
      </c>
      <c r="AC94" s="24" t="str">
        <f t="shared" si="30"/>
        <v/>
      </c>
      <c r="AD94" s="24" t="str">
        <f t="shared" si="31"/>
        <v/>
      </c>
      <c r="AE94" s="24" t="str">
        <f t="shared" si="32"/>
        <v/>
      </c>
      <c r="AF94" s="25" t="s">
        <v>325</v>
      </c>
    </row>
    <row r="95" spans="1:32" x14ac:dyDescent="0.25">
      <c r="A95" s="22" t="s">
        <v>98</v>
      </c>
      <c r="B95" s="22" t="s">
        <v>145</v>
      </c>
      <c r="C95" s="22" t="s">
        <v>49</v>
      </c>
      <c r="D95" s="23">
        <v>0.25</v>
      </c>
      <c r="E95" s="24">
        <v>0</v>
      </c>
      <c r="F95" s="24">
        <v>26000</v>
      </c>
      <c r="G95" s="24">
        <v>4000</v>
      </c>
      <c r="H95" s="24">
        <v>1000</v>
      </c>
      <c r="I95" s="24">
        <v>0</v>
      </c>
      <c r="J95" s="24">
        <f t="shared" si="23"/>
        <v>0</v>
      </c>
      <c r="K95" s="24">
        <f t="shared" si="24"/>
        <v>19500</v>
      </c>
      <c r="L95" s="24">
        <f t="shared" si="25"/>
        <v>4000</v>
      </c>
      <c r="M95" s="24">
        <f t="shared" si="26"/>
        <v>750</v>
      </c>
      <c r="N95" s="24">
        <f t="shared" si="27"/>
        <v>0</v>
      </c>
      <c r="O95" s="24">
        <v>6840</v>
      </c>
      <c r="P95" s="24">
        <v>5300</v>
      </c>
      <c r="Q95" s="24">
        <v>16000</v>
      </c>
      <c r="R95" s="24">
        <v>8000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8"/>
        <v>60390</v>
      </c>
      <c r="AA95" s="24">
        <v>0</v>
      </c>
      <c r="AB95" s="20">
        <f t="shared" si="29"/>
        <v>60390</v>
      </c>
      <c r="AC95" s="24" t="str">
        <f t="shared" si="30"/>
        <v/>
      </c>
      <c r="AD95" s="24" t="str">
        <f t="shared" si="31"/>
        <v/>
      </c>
      <c r="AE95" s="24" t="str">
        <f t="shared" si="32"/>
        <v/>
      </c>
      <c r="AF95" s="25" t="s">
        <v>325</v>
      </c>
    </row>
    <row r="96" spans="1:32" x14ac:dyDescent="0.25">
      <c r="A96" s="22" t="s">
        <v>98</v>
      </c>
      <c r="B96" s="22" t="s">
        <v>99</v>
      </c>
      <c r="C96" s="22" t="s">
        <v>33</v>
      </c>
      <c r="D96" s="23">
        <v>0.25</v>
      </c>
      <c r="E96" s="24">
        <v>0</v>
      </c>
      <c r="F96" s="24">
        <v>28000</v>
      </c>
      <c r="G96" s="24">
        <v>4000</v>
      </c>
      <c r="H96" s="24">
        <v>2500</v>
      </c>
      <c r="I96" s="24">
        <v>5000</v>
      </c>
      <c r="J96" s="24">
        <f t="shared" si="23"/>
        <v>0</v>
      </c>
      <c r="K96" s="24">
        <f t="shared" si="24"/>
        <v>21000</v>
      </c>
      <c r="L96" s="24">
        <f t="shared" si="25"/>
        <v>4000</v>
      </c>
      <c r="M96" s="24">
        <f t="shared" si="26"/>
        <v>1875</v>
      </c>
      <c r="N96" s="24">
        <f t="shared" si="27"/>
        <v>3750</v>
      </c>
      <c r="O96" s="24">
        <v>25970</v>
      </c>
      <c r="P96" s="24">
        <v>11330</v>
      </c>
      <c r="Q96" s="24">
        <v>16000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8"/>
        <v>83925</v>
      </c>
      <c r="AA96" s="24">
        <v>0</v>
      </c>
      <c r="AB96" s="20">
        <f t="shared" si="29"/>
        <v>83925</v>
      </c>
      <c r="AC96" s="24" t="str">
        <f t="shared" si="30"/>
        <v/>
      </c>
      <c r="AD96" s="24" t="str">
        <f t="shared" si="31"/>
        <v/>
      </c>
      <c r="AE96" s="24" t="str">
        <f t="shared" si="32"/>
        <v/>
      </c>
      <c r="AF96" s="25" t="s">
        <v>325</v>
      </c>
    </row>
    <row r="97" spans="1:32" x14ac:dyDescent="0.25">
      <c r="A97" s="22" t="s">
        <v>100</v>
      </c>
      <c r="B97" s="22" t="s">
        <v>101</v>
      </c>
      <c r="C97" s="22" t="s">
        <v>44</v>
      </c>
      <c r="D97" s="23">
        <v>0</v>
      </c>
      <c r="E97" s="24">
        <v>0</v>
      </c>
      <c r="F97" s="24">
        <v>26000</v>
      </c>
      <c r="G97" s="24">
        <v>4000</v>
      </c>
      <c r="H97" s="24">
        <v>0</v>
      </c>
      <c r="I97" s="24">
        <v>0</v>
      </c>
      <c r="J97" s="24">
        <f t="shared" si="23"/>
        <v>0</v>
      </c>
      <c r="K97" s="24">
        <f t="shared" si="24"/>
        <v>26000</v>
      </c>
      <c r="L97" s="24">
        <f t="shared" si="25"/>
        <v>4000</v>
      </c>
      <c r="M97" s="24">
        <f t="shared" si="26"/>
        <v>0</v>
      </c>
      <c r="N97" s="24">
        <f t="shared" si="27"/>
        <v>0</v>
      </c>
      <c r="O97" s="24">
        <v>13380</v>
      </c>
      <c r="P97" s="24">
        <v>7550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-3030</v>
      </c>
      <c r="Z97" s="24">
        <f t="shared" si="28"/>
        <v>47900</v>
      </c>
      <c r="AA97" s="24">
        <v>27900</v>
      </c>
      <c r="AB97" s="20">
        <f t="shared" si="29"/>
        <v>20000</v>
      </c>
      <c r="AC97" s="24" t="str">
        <f t="shared" si="30"/>
        <v/>
      </c>
      <c r="AD97" s="24" t="str">
        <f t="shared" si="31"/>
        <v/>
      </c>
      <c r="AE97" s="24" t="str">
        <f t="shared" si="32"/>
        <v/>
      </c>
      <c r="AF97" s="25" t="s">
        <v>325</v>
      </c>
    </row>
    <row r="98" spans="1:32" x14ac:dyDescent="0.25">
      <c r="A98" s="22" t="s">
        <v>204</v>
      </c>
      <c r="B98" s="22" t="s">
        <v>205</v>
      </c>
      <c r="C98" s="22" t="s">
        <v>49</v>
      </c>
      <c r="D98" s="23">
        <v>0.25</v>
      </c>
      <c r="E98" s="24">
        <v>0</v>
      </c>
      <c r="F98" s="24">
        <v>26000</v>
      </c>
      <c r="G98" s="24">
        <v>4000</v>
      </c>
      <c r="H98" s="24">
        <v>1000</v>
      </c>
      <c r="I98" s="24">
        <v>0</v>
      </c>
      <c r="J98" s="24">
        <f t="shared" ref="J98:J134" si="33">(1-$D98)*E98</f>
        <v>0</v>
      </c>
      <c r="K98" s="24">
        <f t="shared" ref="K98:K134" si="34">(1-$D98)*F98</f>
        <v>19500</v>
      </c>
      <c r="L98" s="24">
        <f t="shared" ref="L98:L134" si="35">G98</f>
        <v>4000</v>
      </c>
      <c r="M98" s="24">
        <f t="shared" ref="M98:M134" si="36">(1-$D98)*H98</f>
        <v>750</v>
      </c>
      <c r="N98" s="24">
        <f t="shared" ref="N98:N134" si="37">(1-$D98)*I98</f>
        <v>0</v>
      </c>
      <c r="O98" s="24">
        <v>6840</v>
      </c>
      <c r="P98" s="24">
        <v>5300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3500</v>
      </c>
      <c r="Z98" s="24">
        <f t="shared" ref="Z98:Z129" si="38">SUM(J98:Y98)</f>
        <v>39890</v>
      </c>
      <c r="AA98" s="24">
        <v>0</v>
      </c>
      <c r="AB98" s="20">
        <f t="shared" ref="AB98:AB129" si="39">Z98-AA98</f>
        <v>39890</v>
      </c>
      <c r="AC98" s="24" t="str">
        <f t="shared" si="30"/>
        <v/>
      </c>
      <c r="AD98" s="24" t="str">
        <f t="shared" si="31"/>
        <v/>
      </c>
      <c r="AE98" s="24" t="str">
        <f t="shared" si="32"/>
        <v/>
      </c>
      <c r="AF98" s="25" t="s">
        <v>325</v>
      </c>
    </row>
    <row r="99" spans="1:32" x14ac:dyDescent="0.25">
      <c r="A99" s="22" t="s">
        <v>146</v>
      </c>
      <c r="B99" s="22" t="s">
        <v>147</v>
      </c>
      <c r="C99" s="22" t="s">
        <v>44</v>
      </c>
      <c r="D99" s="23">
        <v>0</v>
      </c>
      <c r="E99" s="24">
        <v>0</v>
      </c>
      <c r="F99" s="24">
        <v>26000</v>
      </c>
      <c r="G99" s="24">
        <v>4000</v>
      </c>
      <c r="H99" s="24">
        <v>0</v>
      </c>
      <c r="I99" s="24">
        <v>0</v>
      </c>
      <c r="J99" s="24">
        <f t="shared" si="33"/>
        <v>0</v>
      </c>
      <c r="K99" s="24">
        <f t="shared" si="34"/>
        <v>26000</v>
      </c>
      <c r="L99" s="24">
        <f t="shared" si="35"/>
        <v>4000</v>
      </c>
      <c r="M99" s="24">
        <f t="shared" si="36"/>
        <v>0</v>
      </c>
      <c r="N99" s="24">
        <f t="shared" si="37"/>
        <v>0</v>
      </c>
      <c r="O99" s="24">
        <v>13380</v>
      </c>
      <c r="P99" s="24">
        <v>7550</v>
      </c>
      <c r="Q99" s="24">
        <v>0</v>
      </c>
      <c r="R99" s="24">
        <v>0</v>
      </c>
      <c r="S99" s="24">
        <v>0</v>
      </c>
      <c r="T99" s="24">
        <v>6000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 t="shared" si="38"/>
        <v>56930</v>
      </c>
      <c r="AA99" s="24">
        <v>44700</v>
      </c>
      <c r="AB99" s="20">
        <f t="shared" si="39"/>
        <v>12230</v>
      </c>
      <c r="AC99" s="24" t="str">
        <f t="shared" si="30"/>
        <v/>
      </c>
      <c r="AD99" s="24" t="str">
        <f t="shared" si="31"/>
        <v/>
      </c>
      <c r="AE99" s="24" t="str">
        <f t="shared" si="32"/>
        <v/>
      </c>
      <c r="AF99" s="25" t="s">
        <v>325</v>
      </c>
    </row>
    <row r="100" spans="1:32" x14ac:dyDescent="0.25">
      <c r="A100" s="22" t="s">
        <v>102</v>
      </c>
      <c r="B100" s="22" t="s">
        <v>104</v>
      </c>
      <c r="C100" s="22" t="s">
        <v>44</v>
      </c>
      <c r="D100" s="23">
        <v>0.25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 t="shared" si="33"/>
        <v>0</v>
      </c>
      <c r="K100" s="24">
        <f t="shared" si="34"/>
        <v>19500</v>
      </c>
      <c r="L100" s="24">
        <f t="shared" si="35"/>
        <v>4000</v>
      </c>
      <c r="M100" s="24">
        <f t="shared" si="36"/>
        <v>0</v>
      </c>
      <c r="N100" s="24">
        <f t="shared" si="37"/>
        <v>0</v>
      </c>
      <c r="O100" s="24">
        <v>13380</v>
      </c>
      <c r="P100" s="24">
        <v>7550</v>
      </c>
      <c r="Q100" s="24">
        <v>0</v>
      </c>
      <c r="R100" s="24">
        <v>0</v>
      </c>
      <c r="S100" s="24">
        <v>0</v>
      </c>
      <c r="T100" s="24">
        <v>6000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8"/>
        <v>50430</v>
      </c>
      <c r="AA100" s="24">
        <v>0</v>
      </c>
      <c r="AB100" s="20">
        <f t="shared" si="39"/>
        <v>50430</v>
      </c>
      <c r="AC100" s="24" t="str">
        <f t="shared" si="30"/>
        <v/>
      </c>
      <c r="AD100" s="24" t="str">
        <f t="shared" si="31"/>
        <v/>
      </c>
      <c r="AE100" s="24" t="str">
        <f t="shared" si="32"/>
        <v/>
      </c>
      <c r="AF100" s="25" t="s">
        <v>325</v>
      </c>
    </row>
    <row r="101" spans="1:32" x14ac:dyDescent="0.25">
      <c r="A101" s="22" t="s">
        <v>102</v>
      </c>
      <c r="B101" s="22" t="s">
        <v>103</v>
      </c>
      <c r="C101" s="22" t="s">
        <v>33</v>
      </c>
      <c r="D101" s="23">
        <v>0.25</v>
      </c>
      <c r="E101" s="24">
        <v>0</v>
      </c>
      <c r="F101" s="24">
        <v>28000</v>
      </c>
      <c r="G101" s="24">
        <v>4000</v>
      </c>
      <c r="H101" s="24">
        <v>2500</v>
      </c>
      <c r="I101" s="24">
        <v>5000</v>
      </c>
      <c r="J101" s="24">
        <f t="shared" si="33"/>
        <v>0</v>
      </c>
      <c r="K101" s="24">
        <f t="shared" si="34"/>
        <v>21000</v>
      </c>
      <c r="L101" s="24">
        <f t="shared" si="35"/>
        <v>4000</v>
      </c>
      <c r="M101" s="24">
        <f t="shared" si="36"/>
        <v>1875</v>
      </c>
      <c r="N101" s="24">
        <f t="shared" si="37"/>
        <v>3750</v>
      </c>
      <c r="O101" s="24">
        <v>25970</v>
      </c>
      <c r="P101" s="24">
        <v>11330</v>
      </c>
      <c r="Q101" s="24">
        <v>0</v>
      </c>
      <c r="R101" s="24">
        <v>0</v>
      </c>
      <c r="S101" s="24">
        <v>0</v>
      </c>
      <c r="T101" s="24">
        <v>6000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8"/>
        <v>73925</v>
      </c>
      <c r="AA101" s="24">
        <v>0</v>
      </c>
      <c r="AB101" s="20">
        <f t="shared" si="39"/>
        <v>73925</v>
      </c>
      <c r="AC101" s="24" t="str">
        <f t="shared" si="30"/>
        <v/>
      </c>
      <c r="AD101" s="24" t="str">
        <f t="shared" si="31"/>
        <v/>
      </c>
      <c r="AE101" s="24" t="str">
        <f t="shared" si="32"/>
        <v/>
      </c>
      <c r="AF101" s="25" t="s">
        <v>325</v>
      </c>
    </row>
    <row r="102" spans="1:32" x14ac:dyDescent="0.25">
      <c r="A102" s="22" t="s">
        <v>102</v>
      </c>
      <c r="B102" s="22" t="s">
        <v>105</v>
      </c>
      <c r="C102" s="22" t="s">
        <v>46</v>
      </c>
      <c r="D102" s="23">
        <v>0.25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 t="shared" si="33"/>
        <v>0</v>
      </c>
      <c r="K102" s="24">
        <f t="shared" si="34"/>
        <v>21000</v>
      </c>
      <c r="L102" s="24">
        <f t="shared" si="35"/>
        <v>4000</v>
      </c>
      <c r="M102" s="24">
        <f t="shared" si="36"/>
        <v>0</v>
      </c>
      <c r="N102" s="24">
        <f t="shared" si="37"/>
        <v>3750</v>
      </c>
      <c r="O102" s="24">
        <v>27310</v>
      </c>
      <c r="P102" s="24">
        <v>13230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8"/>
        <v>75290</v>
      </c>
      <c r="AA102" s="24">
        <v>0</v>
      </c>
      <c r="AB102" s="20">
        <f t="shared" si="39"/>
        <v>75290</v>
      </c>
      <c r="AC102" s="24" t="str">
        <f t="shared" si="30"/>
        <v/>
      </c>
      <c r="AD102" s="24" t="str">
        <f t="shared" si="31"/>
        <v/>
      </c>
      <c r="AE102" s="24" t="str">
        <f t="shared" si="32"/>
        <v/>
      </c>
      <c r="AF102" s="25" t="s">
        <v>325</v>
      </c>
    </row>
    <row r="103" spans="1:32" x14ac:dyDescent="0.25">
      <c r="A103" s="22" t="s">
        <v>106</v>
      </c>
      <c r="B103" s="22" t="s">
        <v>45</v>
      </c>
      <c r="C103" s="22" t="s">
        <v>33</v>
      </c>
      <c r="D103" s="23">
        <v>0</v>
      </c>
      <c r="E103" s="24">
        <v>0</v>
      </c>
      <c r="F103" s="24">
        <v>28000</v>
      </c>
      <c r="G103" s="24">
        <v>4000</v>
      </c>
      <c r="H103" s="24">
        <v>2500</v>
      </c>
      <c r="I103" s="24">
        <v>5000</v>
      </c>
      <c r="J103" s="24">
        <f t="shared" si="33"/>
        <v>0</v>
      </c>
      <c r="K103" s="24">
        <f t="shared" si="34"/>
        <v>28000</v>
      </c>
      <c r="L103" s="24">
        <f t="shared" si="35"/>
        <v>4000</v>
      </c>
      <c r="M103" s="24">
        <f t="shared" si="36"/>
        <v>2500</v>
      </c>
      <c r="N103" s="24">
        <f t="shared" si="37"/>
        <v>5000</v>
      </c>
      <c r="O103" s="24">
        <v>25970</v>
      </c>
      <c r="P103" s="24">
        <v>11330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8"/>
        <v>76800</v>
      </c>
      <c r="AA103" s="24">
        <v>0</v>
      </c>
      <c r="AB103" s="20">
        <f t="shared" si="39"/>
        <v>76800</v>
      </c>
      <c r="AC103" s="24" t="str">
        <f t="shared" si="30"/>
        <v/>
      </c>
      <c r="AD103" s="24" t="str">
        <f t="shared" si="31"/>
        <v/>
      </c>
      <c r="AE103" s="24" t="str">
        <f t="shared" si="32"/>
        <v/>
      </c>
      <c r="AF103" s="25" t="s">
        <v>325</v>
      </c>
    </row>
    <row r="104" spans="1:32" x14ac:dyDescent="0.25">
      <c r="A104" s="22" t="s">
        <v>107</v>
      </c>
      <c r="B104" s="22" t="s">
        <v>108</v>
      </c>
      <c r="C104" s="22" t="s">
        <v>59</v>
      </c>
      <c r="D104" s="23">
        <v>1</v>
      </c>
      <c r="E104" s="24">
        <v>0</v>
      </c>
      <c r="F104" s="24">
        <v>28000</v>
      </c>
      <c r="G104" s="24">
        <v>4000</v>
      </c>
      <c r="H104" s="24">
        <v>0</v>
      </c>
      <c r="I104" s="24">
        <v>5000</v>
      </c>
      <c r="J104" s="24">
        <f t="shared" si="33"/>
        <v>0</v>
      </c>
      <c r="K104" s="24">
        <f t="shared" si="34"/>
        <v>0</v>
      </c>
      <c r="L104" s="24">
        <f t="shared" si="35"/>
        <v>4000</v>
      </c>
      <c r="M104" s="24">
        <f t="shared" si="36"/>
        <v>0</v>
      </c>
      <c r="N104" s="24">
        <f t="shared" si="37"/>
        <v>0</v>
      </c>
      <c r="O104" s="24">
        <v>27330</v>
      </c>
      <c r="P104" s="24">
        <v>13230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8"/>
        <v>50560</v>
      </c>
      <c r="AA104" s="24">
        <v>0</v>
      </c>
      <c r="AB104" s="20">
        <f t="shared" si="39"/>
        <v>50560</v>
      </c>
      <c r="AC104" s="24" t="str">
        <f t="shared" si="30"/>
        <v/>
      </c>
      <c r="AD104" s="24" t="str">
        <f t="shared" si="31"/>
        <v/>
      </c>
      <c r="AE104" s="24" t="str">
        <f t="shared" si="32"/>
        <v/>
      </c>
      <c r="AF104" s="25" t="s">
        <v>325</v>
      </c>
    </row>
    <row r="105" spans="1:32" x14ac:dyDescent="0.25">
      <c r="A105" s="22" t="s">
        <v>109</v>
      </c>
      <c r="B105" s="22" t="s">
        <v>164</v>
      </c>
      <c r="C105" s="22" t="s">
        <v>30</v>
      </c>
      <c r="D105" s="23">
        <v>0.25</v>
      </c>
      <c r="E105" s="24">
        <v>0</v>
      </c>
      <c r="F105" s="24">
        <v>26000</v>
      </c>
      <c r="G105" s="24">
        <v>4000</v>
      </c>
      <c r="H105" s="24">
        <v>1000</v>
      </c>
      <c r="I105" s="24">
        <v>0</v>
      </c>
      <c r="J105" s="24">
        <f t="shared" si="33"/>
        <v>0</v>
      </c>
      <c r="K105" s="24">
        <f t="shared" si="34"/>
        <v>19500</v>
      </c>
      <c r="L105" s="24">
        <f t="shared" si="35"/>
        <v>4000</v>
      </c>
      <c r="M105" s="24">
        <f t="shared" si="36"/>
        <v>750</v>
      </c>
      <c r="N105" s="24">
        <f t="shared" si="37"/>
        <v>0</v>
      </c>
      <c r="O105" s="24">
        <v>12480</v>
      </c>
      <c r="P105" s="24">
        <v>7550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65</v>
      </c>
      <c r="Z105" s="24">
        <f t="shared" si="38"/>
        <v>50345</v>
      </c>
      <c r="AA105" s="24">
        <v>0</v>
      </c>
      <c r="AB105" s="20">
        <f t="shared" si="39"/>
        <v>50345</v>
      </c>
      <c r="AC105" s="24" t="str">
        <f t="shared" si="30"/>
        <v/>
      </c>
      <c r="AD105" s="24" t="str">
        <f t="shared" si="31"/>
        <v/>
      </c>
      <c r="AE105" s="24" t="str">
        <f t="shared" si="32"/>
        <v/>
      </c>
      <c r="AF105" s="25" t="s">
        <v>325</v>
      </c>
    </row>
    <row r="106" spans="1:32" x14ac:dyDescent="0.25">
      <c r="A106" s="22" t="s">
        <v>109</v>
      </c>
      <c r="B106" s="22" t="s">
        <v>110</v>
      </c>
      <c r="C106" s="22" t="s">
        <v>33</v>
      </c>
      <c r="D106" s="23">
        <v>0.25</v>
      </c>
      <c r="E106" s="24">
        <v>0</v>
      </c>
      <c r="F106" s="24">
        <v>28000</v>
      </c>
      <c r="G106" s="24">
        <v>4000</v>
      </c>
      <c r="H106" s="24">
        <v>2500</v>
      </c>
      <c r="I106" s="24">
        <v>5000</v>
      </c>
      <c r="J106" s="24">
        <f t="shared" si="33"/>
        <v>0</v>
      </c>
      <c r="K106" s="24">
        <f t="shared" si="34"/>
        <v>21000</v>
      </c>
      <c r="L106" s="24">
        <f t="shared" si="35"/>
        <v>4000</v>
      </c>
      <c r="M106" s="24">
        <f t="shared" si="36"/>
        <v>1875</v>
      </c>
      <c r="N106" s="24">
        <f t="shared" si="37"/>
        <v>3750</v>
      </c>
      <c r="O106" s="24">
        <v>25970</v>
      </c>
      <c r="P106" s="24">
        <v>11330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8"/>
        <v>73925</v>
      </c>
      <c r="AA106" s="24">
        <v>0</v>
      </c>
      <c r="AB106" s="20">
        <f t="shared" si="39"/>
        <v>73925</v>
      </c>
      <c r="AC106" s="24" t="str">
        <f t="shared" si="30"/>
        <v/>
      </c>
      <c r="AD106" s="24" t="str">
        <f t="shared" si="31"/>
        <v/>
      </c>
      <c r="AE106" s="24" t="str">
        <f t="shared" si="32"/>
        <v/>
      </c>
      <c r="AF106" s="25" t="s">
        <v>325</v>
      </c>
    </row>
    <row r="107" spans="1:32" x14ac:dyDescent="0.25">
      <c r="A107" s="22" t="s">
        <v>111</v>
      </c>
      <c r="B107" s="22" t="s">
        <v>112</v>
      </c>
      <c r="C107" s="22" t="s">
        <v>67</v>
      </c>
      <c r="D107" s="23">
        <v>0.3</v>
      </c>
      <c r="E107" s="24">
        <v>0</v>
      </c>
      <c r="F107" s="24">
        <v>33000</v>
      </c>
      <c r="G107" s="24">
        <v>5000</v>
      </c>
      <c r="H107" s="24">
        <v>2000</v>
      </c>
      <c r="I107" s="24">
        <v>6000</v>
      </c>
      <c r="J107" s="24">
        <f t="shared" si="33"/>
        <v>0</v>
      </c>
      <c r="K107" s="24">
        <f t="shared" si="34"/>
        <v>23100</v>
      </c>
      <c r="L107" s="24">
        <f t="shared" si="35"/>
        <v>5000</v>
      </c>
      <c r="M107" s="24">
        <f t="shared" si="36"/>
        <v>1400</v>
      </c>
      <c r="N107" s="24">
        <f t="shared" si="37"/>
        <v>4200</v>
      </c>
      <c r="O107" s="24">
        <v>22400</v>
      </c>
      <c r="P107" s="24">
        <v>14330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8"/>
        <v>70430</v>
      </c>
      <c r="AA107" s="24">
        <v>0</v>
      </c>
      <c r="AB107" s="20">
        <f t="shared" si="39"/>
        <v>70430</v>
      </c>
      <c r="AC107" s="24" t="str">
        <f t="shared" si="30"/>
        <v/>
      </c>
      <c r="AD107" s="24" t="str">
        <f t="shared" si="31"/>
        <v/>
      </c>
      <c r="AE107" s="24" t="str">
        <f t="shared" si="32"/>
        <v/>
      </c>
      <c r="AF107" s="25" t="s">
        <v>325</v>
      </c>
    </row>
    <row r="108" spans="1:32" x14ac:dyDescent="0.25">
      <c r="A108" s="22" t="s">
        <v>211</v>
      </c>
      <c r="B108" s="22" t="s">
        <v>212</v>
      </c>
      <c r="C108" s="22" t="s">
        <v>49</v>
      </c>
      <c r="D108" s="23">
        <v>0.05</v>
      </c>
      <c r="E108" s="24">
        <v>0</v>
      </c>
      <c r="F108" s="24">
        <v>26000</v>
      </c>
      <c r="G108" s="24">
        <v>4000</v>
      </c>
      <c r="H108" s="24">
        <v>1000</v>
      </c>
      <c r="I108" s="24">
        <v>0</v>
      </c>
      <c r="J108" s="24">
        <f t="shared" si="33"/>
        <v>0</v>
      </c>
      <c r="K108" s="24">
        <f t="shared" si="34"/>
        <v>24700</v>
      </c>
      <c r="L108" s="24">
        <f t="shared" si="35"/>
        <v>4000</v>
      </c>
      <c r="M108" s="24">
        <f t="shared" si="36"/>
        <v>950</v>
      </c>
      <c r="N108" s="24">
        <f t="shared" si="37"/>
        <v>0</v>
      </c>
      <c r="O108" s="24">
        <v>6840</v>
      </c>
      <c r="P108" s="24">
        <v>5300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-10000</v>
      </c>
      <c r="Z108" s="24">
        <f t="shared" si="38"/>
        <v>31790</v>
      </c>
      <c r="AA108" s="24">
        <v>33140</v>
      </c>
      <c r="AB108" s="20">
        <f t="shared" si="39"/>
        <v>-1350</v>
      </c>
      <c r="AC108" s="24" t="str">
        <f t="shared" si="30"/>
        <v/>
      </c>
      <c r="AD108" s="24" t="str">
        <f t="shared" si="31"/>
        <v/>
      </c>
      <c r="AE108" s="24" t="str">
        <f t="shared" si="32"/>
        <v/>
      </c>
      <c r="AF108" s="25" t="s">
        <v>326</v>
      </c>
    </row>
    <row r="109" spans="1:32" x14ac:dyDescent="0.25">
      <c r="A109" s="22" t="s">
        <v>113</v>
      </c>
      <c r="B109" s="22" t="s">
        <v>115</v>
      </c>
      <c r="C109" s="22" t="s">
        <v>44</v>
      </c>
      <c r="D109" s="23">
        <v>0.5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 t="shared" si="33"/>
        <v>0</v>
      </c>
      <c r="K109" s="24">
        <f t="shared" si="34"/>
        <v>13000</v>
      </c>
      <c r="L109" s="24">
        <f t="shared" si="35"/>
        <v>4000</v>
      </c>
      <c r="M109" s="24">
        <f t="shared" si="36"/>
        <v>0</v>
      </c>
      <c r="N109" s="24">
        <f t="shared" si="37"/>
        <v>0</v>
      </c>
      <c r="O109" s="24">
        <v>13380</v>
      </c>
      <c r="P109" s="24">
        <v>7550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8000</v>
      </c>
      <c r="Z109" s="24">
        <f t="shared" si="38"/>
        <v>45930</v>
      </c>
      <c r="AA109" s="24">
        <v>0</v>
      </c>
      <c r="AB109" s="20">
        <f t="shared" si="39"/>
        <v>45930</v>
      </c>
      <c r="AC109" s="24" t="str">
        <f t="shared" si="30"/>
        <v/>
      </c>
      <c r="AD109" s="24" t="str">
        <f t="shared" si="31"/>
        <v/>
      </c>
      <c r="AE109" s="24" t="str">
        <f t="shared" si="32"/>
        <v/>
      </c>
      <c r="AF109" s="25" t="s">
        <v>325</v>
      </c>
    </row>
    <row r="110" spans="1:32" x14ac:dyDescent="0.25">
      <c r="A110" s="22" t="s">
        <v>113</v>
      </c>
      <c r="B110" s="22" t="s">
        <v>114</v>
      </c>
      <c r="C110" s="22" t="s">
        <v>48</v>
      </c>
      <c r="D110" s="23">
        <v>0.5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 t="shared" si="33"/>
        <v>0</v>
      </c>
      <c r="K110" s="24">
        <f t="shared" si="34"/>
        <v>14000</v>
      </c>
      <c r="L110" s="24">
        <f t="shared" si="35"/>
        <v>4000</v>
      </c>
      <c r="M110" s="24">
        <f t="shared" si="36"/>
        <v>0</v>
      </c>
      <c r="N110" s="24">
        <f t="shared" si="37"/>
        <v>2500</v>
      </c>
      <c r="O110" s="24">
        <v>26150</v>
      </c>
      <c r="P110" s="24">
        <v>11330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 t="shared" si="38"/>
        <v>57980</v>
      </c>
      <c r="AA110" s="24">
        <v>0</v>
      </c>
      <c r="AB110" s="20">
        <f t="shared" si="39"/>
        <v>57980</v>
      </c>
      <c r="AC110" s="24" t="str">
        <f t="shared" si="30"/>
        <v/>
      </c>
      <c r="AD110" s="24" t="str">
        <f t="shared" si="31"/>
        <v/>
      </c>
      <c r="AE110" s="24" t="str">
        <f t="shared" si="32"/>
        <v/>
      </c>
      <c r="AF110" s="25" t="s">
        <v>325</v>
      </c>
    </row>
    <row r="111" spans="1:32" x14ac:dyDescent="0.25">
      <c r="A111" s="22" t="s">
        <v>116</v>
      </c>
      <c r="B111" s="22" t="s">
        <v>117</v>
      </c>
      <c r="C111" s="22" t="s">
        <v>67</v>
      </c>
      <c r="D111" s="23">
        <v>0.5</v>
      </c>
      <c r="E111" s="24">
        <v>0</v>
      </c>
      <c r="F111" s="24">
        <v>33000</v>
      </c>
      <c r="G111" s="24">
        <v>5000</v>
      </c>
      <c r="H111" s="24">
        <v>2000</v>
      </c>
      <c r="I111" s="24">
        <v>6000</v>
      </c>
      <c r="J111" s="24">
        <f t="shared" si="33"/>
        <v>0</v>
      </c>
      <c r="K111" s="24">
        <f t="shared" si="34"/>
        <v>16500</v>
      </c>
      <c r="L111" s="24">
        <f t="shared" si="35"/>
        <v>5000</v>
      </c>
      <c r="M111" s="24">
        <f t="shared" si="36"/>
        <v>1000</v>
      </c>
      <c r="N111" s="24">
        <f t="shared" si="37"/>
        <v>3000</v>
      </c>
      <c r="O111" s="24">
        <v>22400</v>
      </c>
      <c r="P111" s="24">
        <v>14330</v>
      </c>
      <c r="Q111" s="24">
        <v>0</v>
      </c>
      <c r="R111" s="24">
        <v>0</v>
      </c>
      <c r="S111" s="24">
        <v>0</v>
      </c>
      <c r="T111" s="24">
        <v>8000</v>
      </c>
      <c r="U111" s="24">
        <v>0</v>
      </c>
      <c r="V111" s="24">
        <v>0</v>
      </c>
      <c r="W111" s="24">
        <v>0</v>
      </c>
      <c r="X111" s="24">
        <v>0</v>
      </c>
      <c r="Y111" s="24">
        <v>-3145</v>
      </c>
      <c r="Z111" s="24">
        <f t="shared" si="38"/>
        <v>67085</v>
      </c>
      <c r="AA111" s="24">
        <v>0</v>
      </c>
      <c r="AB111" s="20">
        <f t="shared" si="39"/>
        <v>67085</v>
      </c>
      <c r="AC111" s="24" t="str">
        <f t="shared" si="30"/>
        <v/>
      </c>
      <c r="AD111" s="24" t="str">
        <f t="shared" si="31"/>
        <v/>
      </c>
      <c r="AE111" s="24" t="str">
        <f t="shared" si="32"/>
        <v/>
      </c>
      <c r="AF111" s="25" t="s">
        <v>325</v>
      </c>
    </row>
    <row r="112" spans="1:32" x14ac:dyDescent="0.25">
      <c r="A112" s="22" t="s">
        <v>118</v>
      </c>
      <c r="B112" s="22" t="s">
        <v>119</v>
      </c>
      <c r="C112" s="22" t="s">
        <v>44</v>
      </c>
      <c r="D112" s="23">
        <v>0.25</v>
      </c>
      <c r="E112" s="24">
        <v>0</v>
      </c>
      <c r="F112" s="24">
        <v>26000</v>
      </c>
      <c r="G112" s="24">
        <v>4000</v>
      </c>
      <c r="H112" s="24">
        <v>0</v>
      </c>
      <c r="I112" s="24">
        <v>0</v>
      </c>
      <c r="J112" s="24">
        <f t="shared" si="33"/>
        <v>0</v>
      </c>
      <c r="K112" s="24">
        <f t="shared" si="34"/>
        <v>19500</v>
      </c>
      <c r="L112" s="24">
        <f t="shared" si="35"/>
        <v>4000</v>
      </c>
      <c r="M112" s="24">
        <f t="shared" si="36"/>
        <v>0</v>
      </c>
      <c r="N112" s="24">
        <f t="shared" si="37"/>
        <v>0</v>
      </c>
      <c r="O112" s="24">
        <v>13380</v>
      </c>
      <c r="P112" s="24">
        <v>7550</v>
      </c>
      <c r="Q112" s="24">
        <v>8000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 t="shared" si="38"/>
        <v>52430</v>
      </c>
      <c r="AA112" s="24">
        <v>0</v>
      </c>
      <c r="AB112" s="20">
        <f t="shared" si="39"/>
        <v>52430</v>
      </c>
      <c r="AC112" s="24" t="str">
        <f t="shared" si="30"/>
        <v/>
      </c>
      <c r="AD112" s="24" t="str">
        <f t="shared" si="31"/>
        <v/>
      </c>
      <c r="AE112" s="24" t="str">
        <f t="shared" si="32"/>
        <v/>
      </c>
      <c r="AF112" s="25" t="s">
        <v>325</v>
      </c>
    </row>
    <row r="113" spans="1:32" x14ac:dyDescent="0.25">
      <c r="A113" s="22" t="s">
        <v>118</v>
      </c>
      <c r="B113" s="22" t="s">
        <v>120</v>
      </c>
      <c r="C113" s="22" t="s">
        <v>46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33"/>
        <v>0</v>
      </c>
      <c r="K113" s="24">
        <f t="shared" si="34"/>
        <v>21000</v>
      </c>
      <c r="L113" s="24">
        <f t="shared" si="35"/>
        <v>4000</v>
      </c>
      <c r="M113" s="24">
        <f t="shared" si="36"/>
        <v>0</v>
      </c>
      <c r="N113" s="24">
        <f t="shared" si="37"/>
        <v>3750</v>
      </c>
      <c r="O113" s="24">
        <v>27310</v>
      </c>
      <c r="P113" s="24">
        <v>13230</v>
      </c>
      <c r="Q113" s="24">
        <v>8000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8"/>
        <v>77290</v>
      </c>
      <c r="AA113" s="24">
        <v>0</v>
      </c>
      <c r="AB113" s="20">
        <f t="shared" si="39"/>
        <v>77290</v>
      </c>
      <c r="AC113" s="24" t="str">
        <f t="shared" si="30"/>
        <v/>
      </c>
      <c r="AD113" s="24" t="str">
        <f t="shared" si="31"/>
        <v/>
      </c>
      <c r="AE113" s="24" t="str">
        <f t="shared" si="32"/>
        <v/>
      </c>
      <c r="AF113" s="25" t="s">
        <v>325</v>
      </c>
    </row>
    <row r="114" spans="1:32" x14ac:dyDescent="0.25">
      <c r="A114" s="22" t="s">
        <v>198</v>
      </c>
      <c r="B114" s="22" t="s">
        <v>31</v>
      </c>
      <c r="C114" s="22" t="s">
        <v>47</v>
      </c>
      <c r="D114" s="23">
        <v>0.25</v>
      </c>
      <c r="E114" s="24">
        <v>0</v>
      </c>
      <c r="F114" s="24">
        <v>26000</v>
      </c>
      <c r="G114" s="24">
        <v>4000</v>
      </c>
      <c r="H114" s="24">
        <v>0</v>
      </c>
      <c r="I114" s="24">
        <v>0</v>
      </c>
      <c r="J114" s="24">
        <f t="shared" si="33"/>
        <v>0</v>
      </c>
      <c r="K114" s="24">
        <f t="shared" si="34"/>
        <v>19500</v>
      </c>
      <c r="L114" s="24">
        <f t="shared" si="35"/>
        <v>4000</v>
      </c>
      <c r="M114" s="24">
        <f t="shared" si="36"/>
        <v>0</v>
      </c>
      <c r="N114" s="24">
        <f t="shared" si="37"/>
        <v>0</v>
      </c>
      <c r="O114" s="24">
        <v>24930</v>
      </c>
      <c r="P114" s="24">
        <v>10730</v>
      </c>
      <c r="Q114" s="24">
        <v>0</v>
      </c>
      <c r="R114" s="24">
        <v>0</v>
      </c>
      <c r="S114" s="24">
        <v>0</v>
      </c>
      <c r="T114" s="24">
        <v>6000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 t="shared" si="38"/>
        <v>65160</v>
      </c>
      <c r="AA114" s="24">
        <v>0</v>
      </c>
      <c r="AB114" s="20">
        <f t="shared" si="39"/>
        <v>65160</v>
      </c>
      <c r="AC114" s="24" t="str">
        <f t="shared" si="30"/>
        <v/>
      </c>
      <c r="AD114" s="24" t="str">
        <f t="shared" si="31"/>
        <v/>
      </c>
      <c r="AE114" s="24" t="str">
        <f t="shared" si="32"/>
        <v/>
      </c>
      <c r="AF114" s="25" t="s">
        <v>325</v>
      </c>
    </row>
    <row r="115" spans="1:32" x14ac:dyDescent="0.25">
      <c r="A115" s="22" t="s">
        <v>198</v>
      </c>
      <c r="B115" s="22" t="s">
        <v>32</v>
      </c>
      <c r="C115" s="22" t="s">
        <v>46</v>
      </c>
      <c r="D115" s="23">
        <v>0.25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 t="shared" si="33"/>
        <v>0</v>
      </c>
      <c r="K115" s="24">
        <f t="shared" si="34"/>
        <v>21000</v>
      </c>
      <c r="L115" s="24">
        <f t="shared" si="35"/>
        <v>4000</v>
      </c>
      <c r="M115" s="24">
        <f t="shared" si="36"/>
        <v>0</v>
      </c>
      <c r="N115" s="24">
        <f t="shared" si="37"/>
        <v>3750</v>
      </c>
      <c r="O115" s="24">
        <v>27310</v>
      </c>
      <c r="P115" s="24">
        <v>13230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8"/>
        <v>75290</v>
      </c>
      <c r="AA115" s="24">
        <v>0</v>
      </c>
      <c r="AB115" s="20">
        <f t="shared" si="39"/>
        <v>75290</v>
      </c>
      <c r="AC115" s="24" t="str">
        <f t="shared" si="30"/>
        <v/>
      </c>
      <c r="AD115" s="24" t="str">
        <f t="shared" si="31"/>
        <v/>
      </c>
      <c r="AE115" s="24" t="str">
        <f t="shared" si="32"/>
        <v/>
      </c>
      <c r="AF115" s="25" t="s">
        <v>325</v>
      </c>
    </row>
    <row r="116" spans="1:32" x14ac:dyDescent="0.25">
      <c r="A116" s="22" t="s">
        <v>121</v>
      </c>
      <c r="B116" s="22" t="s">
        <v>242</v>
      </c>
      <c r="C116" s="22" t="s">
        <v>252</v>
      </c>
      <c r="D116" s="23">
        <v>0.25</v>
      </c>
      <c r="E116" s="24">
        <v>0</v>
      </c>
      <c r="F116" s="24">
        <v>26000</v>
      </c>
      <c r="G116" s="24">
        <v>2000</v>
      </c>
      <c r="H116" s="24">
        <v>0</v>
      </c>
      <c r="I116" s="24">
        <v>0</v>
      </c>
      <c r="J116" s="24">
        <f t="shared" si="33"/>
        <v>0</v>
      </c>
      <c r="K116" s="24">
        <f t="shared" si="34"/>
        <v>19500</v>
      </c>
      <c r="L116" s="24">
        <f t="shared" si="35"/>
        <v>2000</v>
      </c>
      <c r="M116" s="24">
        <f t="shared" si="36"/>
        <v>0</v>
      </c>
      <c r="N116" s="24">
        <f t="shared" si="37"/>
        <v>0</v>
      </c>
      <c r="O116" s="24">
        <v>0</v>
      </c>
      <c r="P116" s="24">
        <v>3050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8"/>
        <v>24550</v>
      </c>
      <c r="AA116" s="24">
        <v>0</v>
      </c>
      <c r="AB116" s="20">
        <f t="shared" si="39"/>
        <v>24550</v>
      </c>
      <c r="AC116" s="24" t="str">
        <f t="shared" si="30"/>
        <v/>
      </c>
      <c r="AD116" s="24" t="str">
        <f t="shared" si="31"/>
        <v/>
      </c>
      <c r="AE116" s="24" t="str">
        <f t="shared" si="32"/>
        <v/>
      </c>
      <c r="AF116" s="25" t="s">
        <v>325</v>
      </c>
    </row>
    <row r="117" spans="1:32" x14ac:dyDescent="0.25">
      <c r="A117" s="22" t="s">
        <v>121</v>
      </c>
      <c r="B117" s="22" t="s">
        <v>122</v>
      </c>
      <c r="C117" s="22" t="s">
        <v>47</v>
      </c>
      <c r="D117" s="23">
        <v>0.25</v>
      </c>
      <c r="E117" s="24">
        <v>0</v>
      </c>
      <c r="F117" s="24">
        <v>26000</v>
      </c>
      <c r="G117" s="24">
        <v>4000</v>
      </c>
      <c r="H117" s="24">
        <v>0</v>
      </c>
      <c r="I117" s="24">
        <v>0</v>
      </c>
      <c r="J117" s="24">
        <f t="shared" si="33"/>
        <v>0</v>
      </c>
      <c r="K117" s="24">
        <f t="shared" si="34"/>
        <v>19500</v>
      </c>
      <c r="L117" s="24">
        <f t="shared" si="35"/>
        <v>4000</v>
      </c>
      <c r="M117" s="24">
        <f t="shared" si="36"/>
        <v>0</v>
      </c>
      <c r="N117" s="24">
        <f t="shared" si="37"/>
        <v>0</v>
      </c>
      <c r="O117" s="24">
        <v>24930</v>
      </c>
      <c r="P117" s="24">
        <v>10730</v>
      </c>
      <c r="Q117" s="24">
        <v>0</v>
      </c>
      <c r="R117" s="24">
        <v>0</v>
      </c>
      <c r="S117" s="24">
        <v>0</v>
      </c>
      <c r="T117" s="24">
        <v>6000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8"/>
        <v>65160</v>
      </c>
      <c r="AA117" s="24">
        <v>0</v>
      </c>
      <c r="AB117" s="20">
        <f t="shared" si="39"/>
        <v>65160</v>
      </c>
      <c r="AC117" s="24" t="str">
        <f t="shared" si="30"/>
        <v/>
      </c>
      <c r="AD117" s="24" t="str">
        <f t="shared" si="31"/>
        <v/>
      </c>
      <c r="AE117" s="24" t="str">
        <f t="shared" si="32"/>
        <v/>
      </c>
      <c r="AF117" s="25" t="s">
        <v>325</v>
      </c>
    </row>
    <row r="118" spans="1:32" x14ac:dyDescent="0.25">
      <c r="A118" s="22" t="s">
        <v>358</v>
      </c>
      <c r="B118" s="22" t="s">
        <v>359</v>
      </c>
      <c r="C118" s="22" t="s">
        <v>252</v>
      </c>
      <c r="D118" s="23">
        <v>0</v>
      </c>
      <c r="E118" s="24">
        <v>2000</v>
      </c>
      <c r="F118" s="24">
        <v>26000</v>
      </c>
      <c r="G118" s="24">
        <v>2000</v>
      </c>
      <c r="H118" s="24">
        <v>0</v>
      </c>
      <c r="I118" s="24">
        <v>0</v>
      </c>
      <c r="J118" s="24">
        <f t="shared" si="33"/>
        <v>2000</v>
      </c>
      <c r="K118" s="24">
        <f t="shared" si="34"/>
        <v>26000</v>
      </c>
      <c r="L118" s="24">
        <f t="shared" si="35"/>
        <v>2000</v>
      </c>
      <c r="M118" s="24">
        <f t="shared" si="36"/>
        <v>0</v>
      </c>
      <c r="N118" s="24">
        <f t="shared" si="37"/>
        <v>0</v>
      </c>
      <c r="O118" s="24">
        <v>0</v>
      </c>
      <c r="P118" s="24">
        <v>3050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8"/>
        <v>33050</v>
      </c>
      <c r="AA118" s="24">
        <v>0</v>
      </c>
      <c r="AB118" s="20">
        <f t="shared" si="39"/>
        <v>33050</v>
      </c>
      <c r="AC118" s="24" t="str">
        <f t="shared" si="30"/>
        <v/>
      </c>
      <c r="AD118" s="24" t="str">
        <f t="shared" si="31"/>
        <v/>
      </c>
      <c r="AE118" s="24" t="str">
        <f t="shared" si="32"/>
        <v/>
      </c>
      <c r="AF118" s="24"/>
    </row>
    <row r="119" spans="1:32" x14ac:dyDescent="0.25">
      <c r="A119" s="22" t="s">
        <v>123</v>
      </c>
      <c r="B119" s="22" t="s">
        <v>124</v>
      </c>
      <c r="C119" s="22" t="s">
        <v>47</v>
      </c>
      <c r="D119" s="23">
        <v>0</v>
      </c>
      <c r="E119" s="24">
        <v>0</v>
      </c>
      <c r="F119" s="24">
        <v>26000</v>
      </c>
      <c r="G119" s="24">
        <v>4000</v>
      </c>
      <c r="H119" s="24">
        <v>0</v>
      </c>
      <c r="I119" s="24">
        <v>0</v>
      </c>
      <c r="J119" s="24">
        <f t="shared" si="33"/>
        <v>0</v>
      </c>
      <c r="K119" s="24">
        <f t="shared" si="34"/>
        <v>26000</v>
      </c>
      <c r="L119" s="24">
        <f t="shared" si="35"/>
        <v>4000</v>
      </c>
      <c r="M119" s="24">
        <f t="shared" si="36"/>
        <v>0</v>
      </c>
      <c r="N119" s="24">
        <f t="shared" si="37"/>
        <v>0</v>
      </c>
      <c r="O119" s="24">
        <v>24930</v>
      </c>
      <c r="P119" s="24">
        <v>10730</v>
      </c>
      <c r="Q119" s="24">
        <v>0</v>
      </c>
      <c r="R119" s="24">
        <v>0</v>
      </c>
      <c r="S119" s="24">
        <v>0</v>
      </c>
      <c r="T119" s="24">
        <v>6000</v>
      </c>
      <c r="U119" s="24">
        <v>0</v>
      </c>
      <c r="V119" s="24">
        <v>0</v>
      </c>
      <c r="W119" s="24">
        <v>0</v>
      </c>
      <c r="X119" s="24">
        <v>0</v>
      </c>
      <c r="Y119" s="24">
        <v>14240</v>
      </c>
      <c r="Z119" s="24">
        <f t="shared" si="38"/>
        <v>85900</v>
      </c>
      <c r="AA119" s="24">
        <v>50000</v>
      </c>
      <c r="AB119" s="20">
        <f t="shared" si="39"/>
        <v>35900</v>
      </c>
      <c r="AC119" s="24" t="str">
        <f t="shared" ref="AC119:AC134" si="40">IF(AND($T119=6000, ($T119+$W119-$AB119)&gt;=6000),T119,"")</f>
        <v/>
      </c>
      <c r="AD119" s="24" t="str">
        <f t="shared" ref="AD119:AD134" si="41">IF(AND($T119=8000, ($T119+$W119-$AB119)&gt;=8000),T119,"")</f>
        <v/>
      </c>
      <c r="AE119" s="24" t="str">
        <f t="shared" ref="AE119:AE134" si="42">IF(($T119+$W119-$AB119)&gt;=$T119+8000,W119,"")</f>
        <v/>
      </c>
      <c r="AF119" s="25" t="s">
        <v>325</v>
      </c>
    </row>
    <row r="120" spans="1:32" x14ac:dyDescent="0.25">
      <c r="A120" s="22" t="s">
        <v>125</v>
      </c>
      <c r="B120" s="22" t="s">
        <v>128</v>
      </c>
      <c r="C120" s="22" t="s">
        <v>44</v>
      </c>
      <c r="D120" s="23">
        <v>0.25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 t="shared" si="33"/>
        <v>0</v>
      </c>
      <c r="K120" s="24">
        <f t="shared" si="34"/>
        <v>19500</v>
      </c>
      <c r="L120" s="24">
        <f t="shared" si="35"/>
        <v>4000</v>
      </c>
      <c r="M120" s="24">
        <f t="shared" si="36"/>
        <v>0</v>
      </c>
      <c r="N120" s="24">
        <f t="shared" si="37"/>
        <v>0</v>
      </c>
      <c r="O120" s="24">
        <v>13380</v>
      </c>
      <c r="P120" s="24">
        <v>7550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8"/>
        <v>44430</v>
      </c>
      <c r="AA120" s="24">
        <v>44430</v>
      </c>
      <c r="AB120" s="20">
        <f t="shared" si="39"/>
        <v>0</v>
      </c>
      <c r="AC120" s="24" t="str">
        <f t="shared" si="40"/>
        <v/>
      </c>
      <c r="AD120" s="24" t="str">
        <f t="shared" si="41"/>
        <v/>
      </c>
      <c r="AE120" s="24" t="str">
        <f t="shared" si="42"/>
        <v/>
      </c>
      <c r="AF120" s="25" t="s">
        <v>325</v>
      </c>
    </row>
    <row r="121" spans="1:32" x14ac:dyDescent="0.25">
      <c r="A121" s="22" t="s">
        <v>125</v>
      </c>
      <c r="B121" s="22" t="s">
        <v>127</v>
      </c>
      <c r="C121" s="22" t="s">
        <v>48</v>
      </c>
      <c r="D121" s="23">
        <v>0.25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 t="shared" si="33"/>
        <v>0</v>
      </c>
      <c r="K121" s="24">
        <f t="shared" si="34"/>
        <v>21000</v>
      </c>
      <c r="L121" s="24">
        <f t="shared" si="35"/>
        <v>4000</v>
      </c>
      <c r="M121" s="24">
        <f t="shared" si="36"/>
        <v>0</v>
      </c>
      <c r="N121" s="24">
        <f t="shared" si="37"/>
        <v>3750</v>
      </c>
      <c r="O121" s="24">
        <v>26150</v>
      </c>
      <c r="P121" s="24">
        <v>11330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 t="shared" si="38"/>
        <v>66230</v>
      </c>
      <c r="AA121" s="24">
        <v>55570</v>
      </c>
      <c r="AB121" s="20">
        <f t="shared" si="39"/>
        <v>10660</v>
      </c>
      <c r="AC121" s="24" t="str">
        <f t="shared" si="40"/>
        <v/>
      </c>
      <c r="AD121" s="24" t="str">
        <f t="shared" si="41"/>
        <v/>
      </c>
      <c r="AE121" s="24" t="str">
        <f t="shared" si="42"/>
        <v/>
      </c>
      <c r="AF121" s="25" t="s">
        <v>325</v>
      </c>
    </row>
    <row r="122" spans="1:32" x14ac:dyDescent="0.25">
      <c r="A122" s="22" t="s">
        <v>125</v>
      </c>
      <c r="B122" s="22" t="s">
        <v>129</v>
      </c>
      <c r="C122" s="22" t="s">
        <v>248</v>
      </c>
      <c r="D122" s="23">
        <v>0.25</v>
      </c>
      <c r="E122" s="24">
        <v>0</v>
      </c>
      <c r="F122" s="24">
        <v>28000</v>
      </c>
      <c r="G122" s="24">
        <v>4000</v>
      </c>
      <c r="H122" s="24">
        <v>0</v>
      </c>
      <c r="I122" s="24">
        <v>5000</v>
      </c>
      <c r="J122" s="24">
        <f t="shared" si="33"/>
        <v>0</v>
      </c>
      <c r="K122" s="24">
        <f t="shared" si="34"/>
        <v>21000</v>
      </c>
      <c r="L122" s="24">
        <f t="shared" si="35"/>
        <v>4000</v>
      </c>
      <c r="M122" s="24">
        <f t="shared" si="36"/>
        <v>0</v>
      </c>
      <c r="N122" s="24">
        <f t="shared" si="37"/>
        <v>3750</v>
      </c>
      <c r="O122" s="24">
        <v>28790</v>
      </c>
      <c r="P122" s="24">
        <v>13230</v>
      </c>
      <c r="Q122" s="24">
        <v>0</v>
      </c>
      <c r="R122" s="24">
        <v>0</v>
      </c>
      <c r="S122" s="24">
        <v>0</v>
      </c>
      <c r="T122" s="24">
        <v>6000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8"/>
        <v>76770</v>
      </c>
      <c r="AA122" s="24">
        <v>0</v>
      </c>
      <c r="AB122" s="20">
        <f t="shared" si="39"/>
        <v>76770</v>
      </c>
      <c r="AC122" s="24" t="str">
        <f t="shared" si="40"/>
        <v/>
      </c>
      <c r="AD122" s="24" t="str">
        <f t="shared" si="41"/>
        <v/>
      </c>
      <c r="AE122" s="24" t="str">
        <f t="shared" si="42"/>
        <v/>
      </c>
      <c r="AF122" s="25" t="s">
        <v>325</v>
      </c>
    </row>
    <row r="123" spans="1:32" x14ac:dyDescent="0.25">
      <c r="A123" s="22" t="s">
        <v>125</v>
      </c>
      <c r="B123" s="22" t="s">
        <v>126</v>
      </c>
      <c r="C123" s="22" t="s">
        <v>70</v>
      </c>
      <c r="D123" s="23">
        <v>0.25</v>
      </c>
      <c r="E123" s="24">
        <v>0</v>
      </c>
      <c r="F123" s="24">
        <v>40000</v>
      </c>
      <c r="G123" s="24">
        <v>5000</v>
      </c>
      <c r="H123" s="24">
        <v>2000</v>
      </c>
      <c r="I123" s="24">
        <v>8000</v>
      </c>
      <c r="J123" s="24">
        <f t="shared" si="33"/>
        <v>0</v>
      </c>
      <c r="K123" s="24">
        <f t="shared" si="34"/>
        <v>30000</v>
      </c>
      <c r="L123" s="24">
        <f t="shared" si="35"/>
        <v>5000</v>
      </c>
      <c r="M123" s="24">
        <f t="shared" si="36"/>
        <v>1500</v>
      </c>
      <c r="N123" s="24">
        <f t="shared" si="37"/>
        <v>6000</v>
      </c>
      <c r="O123" s="24">
        <v>11880</v>
      </c>
      <c r="P123" s="24">
        <v>14330</v>
      </c>
      <c r="Q123" s="24">
        <v>0</v>
      </c>
      <c r="R123" s="24">
        <v>0</v>
      </c>
      <c r="S123" s="24">
        <v>0</v>
      </c>
      <c r="T123" s="24">
        <v>8000</v>
      </c>
      <c r="U123" s="24">
        <v>0</v>
      </c>
      <c r="V123" s="24">
        <v>0</v>
      </c>
      <c r="W123" s="24">
        <v>0</v>
      </c>
      <c r="X123" s="24">
        <v>0</v>
      </c>
      <c r="Y123" s="24">
        <v>2660</v>
      </c>
      <c r="Z123" s="24">
        <f t="shared" si="38"/>
        <v>79370</v>
      </c>
      <c r="AA123" s="24">
        <v>0</v>
      </c>
      <c r="AB123" s="20">
        <f t="shared" si="39"/>
        <v>79370</v>
      </c>
      <c r="AC123" s="24" t="str">
        <f t="shared" si="40"/>
        <v/>
      </c>
      <c r="AD123" s="24" t="str">
        <f t="shared" si="41"/>
        <v/>
      </c>
      <c r="AE123" s="24" t="str">
        <f t="shared" si="42"/>
        <v/>
      </c>
      <c r="AF123" s="25" t="s">
        <v>325</v>
      </c>
    </row>
    <row r="124" spans="1:32" x14ac:dyDescent="0.25">
      <c r="A124" s="22" t="s">
        <v>184</v>
      </c>
      <c r="B124" s="22" t="s">
        <v>189</v>
      </c>
      <c r="C124" s="22" t="s">
        <v>30</v>
      </c>
      <c r="D124" s="23">
        <v>0.25</v>
      </c>
      <c r="E124" s="24">
        <v>0</v>
      </c>
      <c r="F124" s="24">
        <v>26000</v>
      </c>
      <c r="G124" s="24">
        <v>4000</v>
      </c>
      <c r="H124" s="24">
        <v>1000</v>
      </c>
      <c r="I124" s="24">
        <v>0</v>
      </c>
      <c r="J124" s="24">
        <f t="shared" si="33"/>
        <v>0</v>
      </c>
      <c r="K124" s="24">
        <f t="shared" si="34"/>
        <v>19500</v>
      </c>
      <c r="L124" s="24">
        <f t="shared" si="35"/>
        <v>4000</v>
      </c>
      <c r="M124" s="24">
        <f t="shared" si="36"/>
        <v>750</v>
      </c>
      <c r="N124" s="24">
        <f t="shared" si="37"/>
        <v>0</v>
      </c>
      <c r="O124" s="24">
        <v>12480</v>
      </c>
      <c r="P124" s="24">
        <v>7550</v>
      </c>
      <c r="Q124" s="24">
        <v>0</v>
      </c>
      <c r="R124" s="24">
        <v>0</v>
      </c>
      <c r="S124" s="24">
        <v>0</v>
      </c>
      <c r="T124" s="24">
        <v>6000</v>
      </c>
      <c r="U124" s="24">
        <v>0</v>
      </c>
      <c r="V124" s="24">
        <v>0</v>
      </c>
      <c r="W124" s="24">
        <v>0</v>
      </c>
      <c r="X124" s="24">
        <v>0</v>
      </c>
      <c r="Y124" s="24">
        <v>1250</v>
      </c>
      <c r="Z124" s="24">
        <f t="shared" si="38"/>
        <v>51530</v>
      </c>
      <c r="AA124" s="24">
        <v>10000</v>
      </c>
      <c r="AB124" s="20">
        <f t="shared" si="39"/>
        <v>41530</v>
      </c>
      <c r="AC124" s="24" t="str">
        <f t="shared" si="40"/>
        <v/>
      </c>
      <c r="AD124" s="24" t="str">
        <f t="shared" si="41"/>
        <v/>
      </c>
      <c r="AE124" s="24" t="str">
        <f t="shared" si="42"/>
        <v/>
      </c>
      <c r="AF124" s="25" t="s">
        <v>325</v>
      </c>
    </row>
    <row r="125" spans="1:32" x14ac:dyDescent="0.25">
      <c r="A125" s="22" t="s">
        <v>184</v>
      </c>
      <c r="B125" s="22" t="s">
        <v>185</v>
      </c>
      <c r="C125" s="22" t="s">
        <v>33</v>
      </c>
      <c r="D125" s="23">
        <v>0.25</v>
      </c>
      <c r="E125" s="24">
        <v>0</v>
      </c>
      <c r="F125" s="24">
        <v>28000</v>
      </c>
      <c r="G125" s="24">
        <v>4000</v>
      </c>
      <c r="H125" s="24">
        <v>2500</v>
      </c>
      <c r="I125" s="24">
        <v>5000</v>
      </c>
      <c r="J125" s="24">
        <f t="shared" si="33"/>
        <v>0</v>
      </c>
      <c r="K125" s="24">
        <f t="shared" si="34"/>
        <v>21000</v>
      </c>
      <c r="L125" s="24">
        <f t="shared" si="35"/>
        <v>4000</v>
      </c>
      <c r="M125" s="24">
        <f t="shared" si="36"/>
        <v>1875</v>
      </c>
      <c r="N125" s="24">
        <f t="shared" si="37"/>
        <v>3750</v>
      </c>
      <c r="O125" s="24">
        <v>25970</v>
      </c>
      <c r="P125" s="24">
        <v>11330</v>
      </c>
      <c r="Q125" s="24">
        <v>0</v>
      </c>
      <c r="R125" s="24">
        <v>0</v>
      </c>
      <c r="S125" s="24">
        <v>0</v>
      </c>
      <c r="T125" s="24">
        <v>6000</v>
      </c>
      <c r="U125" s="24">
        <v>0</v>
      </c>
      <c r="V125" s="24">
        <v>0</v>
      </c>
      <c r="W125" s="24">
        <v>0</v>
      </c>
      <c r="X125" s="24">
        <v>0</v>
      </c>
      <c r="Y125" s="24">
        <v>9500</v>
      </c>
      <c r="Z125" s="24">
        <f t="shared" si="38"/>
        <v>83425</v>
      </c>
      <c r="AA125" s="24">
        <v>0</v>
      </c>
      <c r="AB125" s="20">
        <f t="shared" si="39"/>
        <v>83425</v>
      </c>
      <c r="AC125" s="24" t="str">
        <f t="shared" si="40"/>
        <v/>
      </c>
      <c r="AD125" s="24" t="str">
        <f t="shared" si="41"/>
        <v/>
      </c>
      <c r="AE125" s="24" t="str">
        <f t="shared" si="42"/>
        <v/>
      </c>
      <c r="AF125" s="25" t="s">
        <v>325</v>
      </c>
    </row>
    <row r="126" spans="1:32" x14ac:dyDescent="0.25">
      <c r="A126" s="22" t="s">
        <v>184</v>
      </c>
      <c r="B126" s="22" t="s">
        <v>186</v>
      </c>
      <c r="C126" s="22" t="s">
        <v>59</v>
      </c>
      <c r="D126" s="23">
        <v>0.25</v>
      </c>
      <c r="E126" s="24">
        <v>0</v>
      </c>
      <c r="F126" s="24">
        <v>28000</v>
      </c>
      <c r="G126" s="24">
        <v>4000</v>
      </c>
      <c r="H126" s="24">
        <v>0</v>
      </c>
      <c r="I126" s="24">
        <v>5000</v>
      </c>
      <c r="J126" s="24">
        <f t="shared" si="33"/>
        <v>0</v>
      </c>
      <c r="K126" s="24">
        <f t="shared" si="34"/>
        <v>21000</v>
      </c>
      <c r="L126" s="24">
        <f t="shared" si="35"/>
        <v>4000</v>
      </c>
      <c r="M126" s="24">
        <f t="shared" si="36"/>
        <v>0</v>
      </c>
      <c r="N126" s="24">
        <f t="shared" si="37"/>
        <v>3750</v>
      </c>
      <c r="O126" s="24">
        <v>27330</v>
      </c>
      <c r="P126" s="24">
        <v>13230</v>
      </c>
      <c r="Q126" s="24">
        <v>0</v>
      </c>
      <c r="R126" s="24">
        <v>0</v>
      </c>
      <c r="S126" s="24">
        <v>0</v>
      </c>
      <c r="T126" s="24">
        <v>6000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 t="shared" si="38"/>
        <v>75310</v>
      </c>
      <c r="AA126" s="24">
        <v>0</v>
      </c>
      <c r="AB126" s="20">
        <f t="shared" si="39"/>
        <v>75310</v>
      </c>
      <c r="AC126" s="24" t="str">
        <f t="shared" si="40"/>
        <v/>
      </c>
      <c r="AD126" s="24" t="str">
        <f t="shared" si="41"/>
        <v/>
      </c>
      <c r="AE126" s="24" t="str">
        <f t="shared" si="42"/>
        <v/>
      </c>
      <c r="AF126" s="25" t="s">
        <v>325</v>
      </c>
    </row>
    <row r="127" spans="1:32" x14ac:dyDescent="0.25">
      <c r="A127" s="22" t="s">
        <v>220</v>
      </c>
      <c r="B127" s="22" t="s">
        <v>221</v>
      </c>
      <c r="C127" s="22" t="s">
        <v>49</v>
      </c>
      <c r="D127" s="23">
        <v>0</v>
      </c>
      <c r="E127" s="24">
        <v>0</v>
      </c>
      <c r="F127" s="24">
        <v>26000</v>
      </c>
      <c r="G127" s="24">
        <v>4000</v>
      </c>
      <c r="H127" s="24">
        <v>1000</v>
      </c>
      <c r="I127" s="24">
        <v>0</v>
      </c>
      <c r="J127" s="24">
        <f t="shared" si="33"/>
        <v>0</v>
      </c>
      <c r="K127" s="24">
        <f t="shared" si="34"/>
        <v>26000</v>
      </c>
      <c r="L127" s="24">
        <f t="shared" si="35"/>
        <v>4000</v>
      </c>
      <c r="M127" s="24">
        <f t="shared" si="36"/>
        <v>1000</v>
      </c>
      <c r="N127" s="24">
        <f t="shared" si="37"/>
        <v>0</v>
      </c>
      <c r="O127" s="24">
        <v>6840</v>
      </c>
      <c r="P127" s="24">
        <v>5300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1000</v>
      </c>
      <c r="Z127" s="24">
        <f t="shared" si="38"/>
        <v>44140</v>
      </c>
      <c r="AA127" s="24">
        <v>44140</v>
      </c>
      <c r="AB127" s="20">
        <f t="shared" si="39"/>
        <v>0</v>
      </c>
      <c r="AC127" s="24" t="str">
        <f t="shared" si="40"/>
        <v/>
      </c>
      <c r="AD127" s="24" t="str">
        <f t="shared" si="41"/>
        <v/>
      </c>
      <c r="AE127" s="24" t="str">
        <f t="shared" si="42"/>
        <v/>
      </c>
      <c r="AF127" s="25" t="s">
        <v>325</v>
      </c>
    </row>
    <row r="128" spans="1:32" x14ac:dyDescent="0.25">
      <c r="A128" s="22" t="s">
        <v>130</v>
      </c>
      <c r="B128" s="22" t="s">
        <v>131</v>
      </c>
      <c r="C128" s="22" t="s">
        <v>67</v>
      </c>
      <c r="D128" s="23">
        <v>0.3</v>
      </c>
      <c r="E128" s="24">
        <v>0</v>
      </c>
      <c r="F128" s="24">
        <v>33000</v>
      </c>
      <c r="G128" s="24">
        <v>5000</v>
      </c>
      <c r="H128" s="24">
        <v>2000</v>
      </c>
      <c r="I128" s="24">
        <v>6000</v>
      </c>
      <c r="J128" s="24">
        <f t="shared" si="33"/>
        <v>0</v>
      </c>
      <c r="K128" s="24">
        <f t="shared" si="34"/>
        <v>23100</v>
      </c>
      <c r="L128" s="24">
        <f t="shared" si="35"/>
        <v>5000</v>
      </c>
      <c r="M128" s="24">
        <f t="shared" si="36"/>
        <v>1400</v>
      </c>
      <c r="N128" s="24">
        <f t="shared" si="37"/>
        <v>4200</v>
      </c>
      <c r="O128" s="24">
        <v>22400</v>
      </c>
      <c r="P128" s="24">
        <v>14330</v>
      </c>
      <c r="Q128" s="24">
        <v>0</v>
      </c>
      <c r="R128" s="24">
        <v>0</v>
      </c>
      <c r="S128" s="24">
        <v>0</v>
      </c>
      <c r="T128" s="24">
        <v>8000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f t="shared" si="38"/>
        <v>78430</v>
      </c>
      <c r="AA128" s="24">
        <v>0</v>
      </c>
      <c r="AB128" s="20">
        <f t="shared" si="39"/>
        <v>78430</v>
      </c>
      <c r="AC128" s="24" t="str">
        <f t="shared" si="40"/>
        <v/>
      </c>
      <c r="AD128" s="24" t="str">
        <f t="shared" si="41"/>
        <v/>
      </c>
      <c r="AE128" s="24" t="str">
        <f t="shared" si="42"/>
        <v/>
      </c>
      <c r="AF128" s="25" t="s">
        <v>325</v>
      </c>
    </row>
    <row r="129" spans="1:32" x14ac:dyDescent="0.25">
      <c r="A129" s="22" t="s">
        <v>130</v>
      </c>
      <c r="B129" s="22" t="s">
        <v>132</v>
      </c>
      <c r="C129" s="22" t="s">
        <v>70</v>
      </c>
      <c r="D129" s="23">
        <v>0.25</v>
      </c>
      <c r="E129" s="24">
        <v>0</v>
      </c>
      <c r="F129" s="24">
        <v>40000</v>
      </c>
      <c r="G129" s="24">
        <v>5000</v>
      </c>
      <c r="H129" s="24">
        <v>2000</v>
      </c>
      <c r="I129" s="24">
        <v>8000</v>
      </c>
      <c r="J129" s="24">
        <f t="shared" si="33"/>
        <v>0</v>
      </c>
      <c r="K129" s="24">
        <f t="shared" si="34"/>
        <v>30000</v>
      </c>
      <c r="L129" s="24">
        <f t="shared" si="35"/>
        <v>5000</v>
      </c>
      <c r="M129" s="24">
        <f t="shared" si="36"/>
        <v>1500</v>
      </c>
      <c r="N129" s="24">
        <f t="shared" si="37"/>
        <v>6000</v>
      </c>
      <c r="O129" s="24">
        <v>11880</v>
      </c>
      <c r="P129" s="24">
        <v>14330</v>
      </c>
      <c r="Q129" s="24">
        <v>0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f t="shared" si="38"/>
        <v>68710</v>
      </c>
      <c r="AA129" s="24">
        <v>0</v>
      </c>
      <c r="AB129" s="20">
        <f t="shared" si="39"/>
        <v>68710</v>
      </c>
      <c r="AC129" s="24" t="str">
        <f t="shared" si="40"/>
        <v/>
      </c>
      <c r="AD129" s="24" t="str">
        <f t="shared" si="41"/>
        <v/>
      </c>
      <c r="AE129" s="24" t="str">
        <f t="shared" si="42"/>
        <v/>
      </c>
      <c r="AF129" s="25" t="s">
        <v>325</v>
      </c>
    </row>
    <row r="130" spans="1:32" x14ac:dyDescent="0.25">
      <c r="A130" s="22" t="s">
        <v>133</v>
      </c>
      <c r="B130" s="22" t="s">
        <v>134</v>
      </c>
      <c r="C130" s="22" t="s">
        <v>48</v>
      </c>
      <c r="D130" s="23">
        <v>0</v>
      </c>
      <c r="E130" s="24">
        <v>0</v>
      </c>
      <c r="F130" s="24">
        <v>28000</v>
      </c>
      <c r="G130" s="24">
        <v>4000</v>
      </c>
      <c r="H130" s="24">
        <v>0</v>
      </c>
      <c r="I130" s="24">
        <v>5000</v>
      </c>
      <c r="J130" s="24">
        <f t="shared" si="33"/>
        <v>0</v>
      </c>
      <c r="K130" s="24">
        <f t="shared" si="34"/>
        <v>28000</v>
      </c>
      <c r="L130" s="24">
        <f t="shared" si="35"/>
        <v>4000</v>
      </c>
      <c r="M130" s="24">
        <f t="shared" si="36"/>
        <v>0</v>
      </c>
      <c r="N130" s="24">
        <f t="shared" si="37"/>
        <v>5000</v>
      </c>
      <c r="O130" s="24">
        <v>26150</v>
      </c>
      <c r="P130" s="24">
        <v>11330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4020</v>
      </c>
      <c r="Z130" s="24">
        <f t="shared" ref="Z130:Z134" si="43">SUM(J130:Y130)</f>
        <v>78500</v>
      </c>
      <c r="AA130" s="24">
        <v>0</v>
      </c>
      <c r="AB130" s="20">
        <f t="shared" ref="AB130:AB162" si="44">Z130-AA130</f>
        <v>78500</v>
      </c>
      <c r="AC130" s="24" t="str">
        <f t="shared" si="40"/>
        <v/>
      </c>
      <c r="AD130" s="24" t="str">
        <f t="shared" si="41"/>
        <v/>
      </c>
      <c r="AE130" s="24" t="str">
        <f t="shared" si="42"/>
        <v/>
      </c>
      <c r="AF130" s="25" t="s">
        <v>325</v>
      </c>
    </row>
    <row r="131" spans="1:32" x14ac:dyDescent="0.25">
      <c r="A131" s="22" t="s">
        <v>135</v>
      </c>
      <c r="B131" s="22" t="s">
        <v>218</v>
      </c>
      <c r="C131" s="22" t="s">
        <v>49</v>
      </c>
      <c r="D131" s="23">
        <v>0.25</v>
      </c>
      <c r="E131" s="24">
        <v>0</v>
      </c>
      <c r="F131" s="24">
        <v>26000</v>
      </c>
      <c r="G131" s="24">
        <v>4000</v>
      </c>
      <c r="H131" s="24">
        <v>1000</v>
      </c>
      <c r="I131" s="24">
        <v>0</v>
      </c>
      <c r="J131" s="24">
        <f t="shared" si="33"/>
        <v>0</v>
      </c>
      <c r="K131" s="24">
        <f t="shared" si="34"/>
        <v>19500</v>
      </c>
      <c r="L131" s="24">
        <f t="shared" si="35"/>
        <v>4000</v>
      </c>
      <c r="M131" s="24">
        <f t="shared" si="36"/>
        <v>750</v>
      </c>
      <c r="N131" s="24">
        <f t="shared" si="37"/>
        <v>0</v>
      </c>
      <c r="O131" s="24">
        <v>6840</v>
      </c>
      <c r="P131" s="24">
        <v>5300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f t="shared" si="43"/>
        <v>36390</v>
      </c>
      <c r="AA131" s="24">
        <v>7070</v>
      </c>
      <c r="AB131" s="20">
        <f t="shared" si="44"/>
        <v>29320</v>
      </c>
      <c r="AC131" s="24" t="str">
        <f t="shared" si="40"/>
        <v/>
      </c>
      <c r="AD131" s="24" t="str">
        <f t="shared" si="41"/>
        <v/>
      </c>
      <c r="AE131" s="24" t="str">
        <f t="shared" si="42"/>
        <v/>
      </c>
      <c r="AF131" s="25" t="s">
        <v>325</v>
      </c>
    </row>
    <row r="132" spans="1:32" x14ac:dyDescent="0.25">
      <c r="A132" s="22" t="s">
        <v>135</v>
      </c>
      <c r="B132" s="22" t="s">
        <v>136</v>
      </c>
      <c r="C132" s="22" t="s">
        <v>30</v>
      </c>
      <c r="D132" s="23">
        <v>0.3</v>
      </c>
      <c r="E132" s="24">
        <v>0</v>
      </c>
      <c r="F132" s="24">
        <v>26000</v>
      </c>
      <c r="G132" s="24">
        <v>4000</v>
      </c>
      <c r="H132" s="24">
        <v>1000</v>
      </c>
      <c r="I132" s="24">
        <v>0</v>
      </c>
      <c r="J132" s="24">
        <f t="shared" si="33"/>
        <v>0</v>
      </c>
      <c r="K132" s="24">
        <f t="shared" si="34"/>
        <v>18200</v>
      </c>
      <c r="L132" s="24">
        <f t="shared" si="35"/>
        <v>4000</v>
      </c>
      <c r="M132" s="24">
        <f t="shared" si="36"/>
        <v>700</v>
      </c>
      <c r="N132" s="24">
        <f t="shared" si="37"/>
        <v>0</v>
      </c>
      <c r="O132" s="24">
        <v>12480</v>
      </c>
      <c r="P132" s="24">
        <v>7550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f t="shared" si="43"/>
        <v>42930</v>
      </c>
      <c r="AA132" s="24">
        <v>42930</v>
      </c>
      <c r="AB132" s="20">
        <f t="shared" si="44"/>
        <v>0</v>
      </c>
      <c r="AC132" s="24" t="str">
        <f t="shared" si="40"/>
        <v/>
      </c>
      <c r="AD132" s="24" t="str">
        <f t="shared" si="41"/>
        <v/>
      </c>
      <c r="AE132" s="24" t="str">
        <f t="shared" si="42"/>
        <v/>
      </c>
      <c r="AF132" s="25" t="s">
        <v>326</v>
      </c>
    </row>
    <row r="133" spans="1:32" x14ac:dyDescent="0.25">
      <c r="A133" s="22" t="s">
        <v>367</v>
      </c>
      <c r="B133" s="22" t="s">
        <v>368</v>
      </c>
      <c r="C133" s="22"/>
      <c r="D133" s="23">
        <v>0</v>
      </c>
      <c r="E133" s="24">
        <v>0</v>
      </c>
      <c r="F133" s="24">
        <v>0</v>
      </c>
      <c r="G133" s="24">
        <v>0</v>
      </c>
      <c r="H133" s="24">
        <v>0</v>
      </c>
      <c r="I133" s="24">
        <v>0</v>
      </c>
      <c r="J133" s="24">
        <f t="shared" ref="J133" si="45">(1-$D133)*E133</f>
        <v>0</v>
      </c>
      <c r="K133" s="24">
        <f t="shared" ref="K133" si="46">(1-$D133)*F133</f>
        <v>0</v>
      </c>
      <c r="L133" s="24">
        <f t="shared" ref="L133" si="47">G133</f>
        <v>0</v>
      </c>
      <c r="M133" s="24">
        <f t="shared" ref="M133" si="48">(1-$D133)*H133</f>
        <v>0</v>
      </c>
      <c r="N133" s="24">
        <f t="shared" ref="N133" si="49">(1-$D133)*I133</f>
        <v>0</v>
      </c>
      <c r="O133" s="24">
        <v>0</v>
      </c>
      <c r="P133" s="24">
        <v>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f t="shared" si="43"/>
        <v>0</v>
      </c>
      <c r="AA133" s="24">
        <v>30000</v>
      </c>
      <c r="AB133" s="20">
        <f t="shared" si="44"/>
        <v>-30000</v>
      </c>
      <c r="AC133" s="24" t="str">
        <f t="shared" si="40"/>
        <v/>
      </c>
      <c r="AD133" s="24" t="str">
        <f t="shared" si="41"/>
        <v/>
      </c>
      <c r="AE133" s="24">
        <f t="shared" si="42"/>
        <v>0</v>
      </c>
      <c r="AF133" s="25"/>
    </row>
    <row r="134" spans="1:32" x14ac:dyDescent="0.25">
      <c r="A134" s="22" t="s">
        <v>137</v>
      </c>
      <c r="B134" s="22" t="s">
        <v>138</v>
      </c>
      <c r="C134" s="22" t="s">
        <v>44</v>
      </c>
      <c r="D134" s="23">
        <v>0</v>
      </c>
      <c r="E134" s="24">
        <v>0</v>
      </c>
      <c r="F134" s="24">
        <v>26000</v>
      </c>
      <c r="G134" s="24">
        <v>4000</v>
      </c>
      <c r="H134" s="24">
        <v>0</v>
      </c>
      <c r="I134" s="24">
        <v>0</v>
      </c>
      <c r="J134" s="24">
        <f t="shared" si="33"/>
        <v>0</v>
      </c>
      <c r="K134" s="24">
        <f t="shared" si="34"/>
        <v>26000</v>
      </c>
      <c r="L134" s="24">
        <f t="shared" si="35"/>
        <v>4000</v>
      </c>
      <c r="M134" s="24">
        <f t="shared" si="36"/>
        <v>0</v>
      </c>
      <c r="N134" s="24">
        <f t="shared" si="37"/>
        <v>0</v>
      </c>
      <c r="O134" s="24">
        <v>13380</v>
      </c>
      <c r="P134" s="24">
        <v>7550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 t="shared" si="43"/>
        <v>50930</v>
      </c>
      <c r="AA134" s="24">
        <v>20000</v>
      </c>
      <c r="AB134" s="20">
        <f t="shared" si="44"/>
        <v>30930</v>
      </c>
      <c r="AC134" s="24" t="str">
        <f t="shared" si="40"/>
        <v/>
      </c>
      <c r="AD134" s="24" t="str">
        <f t="shared" si="41"/>
        <v/>
      </c>
      <c r="AE134" s="24" t="str">
        <f t="shared" si="42"/>
        <v/>
      </c>
      <c r="AF134" s="25" t="s">
        <v>325</v>
      </c>
    </row>
    <row r="135" spans="1:32" x14ac:dyDescent="0.25">
      <c r="A135" s="26"/>
      <c r="B135" s="26"/>
      <c r="C135" s="26"/>
      <c r="D135" s="27"/>
      <c r="E135" s="28"/>
      <c r="F135" s="28"/>
      <c r="G135" s="28"/>
      <c r="H135" s="28"/>
      <c r="I135" s="28"/>
      <c r="J135" s="28">
        <f t="shared" ref="J135:Z135" si="50">SUM(J2:J134)</f>
        <v>26500</v>
      </c>
      <c r="K135" s="28">
        <f t="shared" si="50"/>
        <v>2969300</v>
      </c>
      <c r="L135" s="28">
        <f t="shared" si="50"/>
        <v>547000</v>
      </c>
      <c r="M135" s="28">
        <f t="shared" si="50"/>
        <v>94450</v>
      </c>
      <c r="N135" s="28">
        <f t="shared" si="50"/>
        <v>283250</v>
      </c>
      <c r="O135" s="28">
        <f t="shared" si="50"/>
        <v>2288220</v>
      </c>
      <c r="P135" s="28">
        <f t="shared" si="50"/>
        <v>1329660</v>
      </c>
      <c r="Q135" s="28">
        <f t="shared" si="50"/>
        <v>252000</v>
      </c>
      <c r="R135" s="28">
        <f t="shared" si="50"/>
        <v>96000</v>
      </c>
      <c r="S135" s="28">
        <f t="shared" si="50"/>
        <v>81000</v>
      </c>
      <c r="T135" s="28">
        <f t="shared" si="50"/>
        <v>258000</v>
      </c>
      <c r="U135" s="28">
        <f t="shared" si="50"/>
        <v>0</v>
      </c>
      <c r="V135" s="28">
        <f t="shared" si="50"/>
        <v>0</v>
      </c>
      <c r="W135" s="28">
        <f t="shared" si="50"/>
        <v>0</v>
      </c>
      <c r="X135" s="28">
        <f t="shared" si="50"/>
        <v>0</v>
      </c>
      <c r="Y135" s="28">
        <f t="shared" si="50"/>
        <v>188670</v>
      </c>
      <c r="Z135" s="28">
        <f t="shared" si="50"/>
        <v>8414050</v>
      </c>
      <c r="AA135" s="28">
        <f>SUM(AA2:AA134)</f>
        <v>2507395</v>
      </c>
      <c r="AB135" s="28">
        <f t="shared" ref="AB135:AF135" si="51">SUM(AB2:AB134)</f>
        <v>5906655</v>
      </c>
      <c r="AC135" s="28">
        <f t="shared" si="51"/>
        <v>24000</v>
      </c>
      <c r="AD135" s="28">
        <f t="shared" si="51"/>
        <v>0</v>
      </c>
      <c r="AE135" s="28">
        <f t="shared" si="51"/>
        <v>0</v>
      </c>
      <c r="AF135" s="28">
        <f t="shared" si="51"/>
        <v>0</v>
      </c>
    </row>
    <row r="136" spans="1:32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2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2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2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2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C279" s="33"/>
      <c r="AD279" s="33"/>
    </row>
    <row r="280" spans="1:30" x14ac:dyDescent="0.25">
      <c r="AC280" s="33"/>
      <c r="AD280" s="33"/>
    </row>
    <row r="281" spans="1:30" x14ac:dyDescent="0.25">
      <c r="AC281" s="33"/>
      <c r="AD281" s="33"/>
    </row>
    <row r="282" spans="1:30" x14ac:dyDescent="0.25">
      <c r="AC282" s="33"/>
      <c r="AD282" s="33"/>
    </row>
    <row r="283" spans="1:30" x14ac:dyDescent="0.25">
      <c r="AC283" s="33"/>
      <c r="AD283" s="33"/>
    </row>
    <row r="284" spans="1:30" x14ac:dyDescent="0.25"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</sheetData>
  <sortState xmlns:xlrd2="http://schemas.microsoft.com/office/spreadsheetml/2017/richdata2" ref="A2:AF135">
    <sortCondition ref="A2:A135"/>
  </sortState>
  <phoneticPr fontId="3" type="noConversion"/>
  <conditionalFormatting sqref="AC1:AF10 AB1:AB134 AB136:AB992 E135:AF135">
    <cfRule type="cellIs" dxfId="0" priority="1" operator="lessThan">
      <formula>0</formula>
    </cfRule>
  </conditionalFormatting>
  <dataValidations count="1">
    <dataValidation type="custom" allowBlank="1" showDropDown="1" sqref="Y98:Y99 Y102:Y114 D11:H28 D122:I134 D121 Y121:Y134 AA11:AA134 I11:I121 O11:X134 Y11:Y95 E29:H121 D29:D105" xr:uid="{8FCCCF8D-A982-4ECC-8B53-E3BEBA112740}">
      <formula1>AND(ISNUMBER(D11),(NOT(OR(NOT(ISERROR(DATEVALUE(D11))), AND(ISNUMBER(D11), LEFT(CELL("format", D11))="D")))))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53" activePane="bottomRight" state="frozen"/>
      <selection activeCell="B16" sqref="B16"/>
      <selection pane="topRight" activeCell="B16" sqref="B16"/>
      <selection pane="bottomLeft" activeCell="B16" sqref="B16"/>
      <selection pane="bottomRight" activeCell="E58" sqref="E58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9.710937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2507395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46268</v>
      </c>
      <c r="B7" s="7" t="s">
        <v>250</v>
      </c>
      <c r="C7" s="7" t="s">
        <v>265</v>
      </c>
      <c r="D7" s="9">
        <v>42140</v>
      </c>
      <c r="E7" s="7" t="s">
        <v>266</v>
      </c>
    </row>
    <row r="8" spans="1:24" x14ac:dyDescent="0.25">
      <c r="A8" s="8">
        <v>46280</v>
      </c>
      <c r="B8" s="7" t="s">
        <v>250</v>
      </c>
      <c r="C8" s="7" t="s">
        <v>337</v>
      </c>
      <c r="D8" s="9">
        <v>80000</v>
      </c>
      <c r="E8" s="7" t="s">
        <v>338</v>
      </c>
      <c r="F8" s="11"/>
    </row>
    <row r="9" spans="1:24" x14ac:dyDescent="0.25">
      <c r="A9" s="8">
        <v>46280</v>
      </c>
      <c r="B9" s="7" t="s">
        <v>250</v>
      </c>
      <c r="C9" s="7" t="s">
        <v>318</v>
      </c>
      <c r="D9" s="9">
        <v>120210</v>
      </c>
      <c r="E9" s="7" t="s">
        <v>336</v>
      </c>
    </row>
    <row r="10" spans="1:24" x14ac:dyDescent="0.25">
      <c r="A10" s="8">
        <v>46255</v>
      </c>
      <c r="B10" s="7" t="s">
        <v>250</v>
      </c>
      <c r="C10" s="7" t="s">
        <v>253</v>
      </c>
      <c r="D10" s="9">
        <v>43000</v>
      </c>
      <c r="E10" s="7" t="s">
        <v>254</v>
      </c>
    </row>
    <row r="11" spans="1:24" x14ac:dyDescent="0.25">
      <c r="A11" s="8">
        <v>46262</v>
      </c>
      <c r="B11" s="7" t="s">
        <v>250</v>
      </c>
      <c r="C11" s="7" t="s">
        <v>253</v>
      </c>
      <c r="D11" s="9">
        <v>33000</v>
      </c>
      <c r="E11" s="7" t="s">
        <v>254</v>
      </c>
    </row>
    <row r="12" spans="1:24" x14ac:dyDescent="0.25">
      <c r="A12" s="8">
        <v>46262</v>
      </c>
      <c r="B12" s="7" t="s">
        <v>250</v>
      </c>
      <c r="C12" s="7" t="s">
        <v>253</v>
      </c>
      <c r="D12" s="9">
        <v>615</v>
      </c>
      <c r="E12" s="7" t="s">
        <v>254</v>
      </c>
    </row>
    <row r="13" spans="1:24" s="8" customFormat="1" x14ac:dyDescent="0.25">
      <c r="A13" s="8">
        <v>46263</v>
      </c>
      <c r="B13" s="7" t="s">
        <v>250</v>
      </c>
      <c r="C13" s="7" t="s">
        <v>253</v>
      </c>
      <c r="D13" s="9">
        <v>18000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46278</v>
      </c>
      <c r="B14" s="7" t="s">
        <v>250</v>
      </c>
      <c r="C14" s="7" t="s">
        <v>305</v>
      </c>
      <c r="D14" s="9">
        <v>30000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46279</v>
      </c>
      <c r="B15" s="7" t="s">
        <v>250</v>
      </c>
      <c r="C15" s="7" t="s">
        <v>305</v>
      </c>
      <c r="D15" s="9">
        <v>8000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46280</v>
      </c>
      <c r="B16" s="7" t="s">
        <v>250</v>
      </c>
      <c r="C16" s="7" t="s">
        <v>305</v>
      </c>
      <c r="D16" s="9">
        <v>20000</v>
      </c>
      <c r="E16" s="7" t="s">
        <v>254</v>
      </c>
      <c r="F16" s="1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46278</v>
      </c>
      <c r="B17" s="7" t="s">
        <v>270</v>
      </c>
      <c r="C17" s="7" t="s">
        <v>301</v>
      </c>
      <c r="D17" s="9">
        <v>62230</v>
      </c>
      <c r="E17" s="7" t="s">
        <v>303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46271</v>
      </c>
      <c r="B18" s="7" t="s">
        <v>250</v>
      </c>
      <c r="C18" s="7" t="s">
        <v>267</v>
      </c>
      <c r="D18" s="9">
        <v>60000</v>
      </c>
      <c r="E18" s="7" t="s">
        <v>268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46280</v>
      </c>
      <c r="B19" s="7" t="s">
        <v>250</v>
      </c>
      <c r="C19" s="7" t="s">
        <v>321</v>
      </c>
      <c r="D19" s="9">
        <v>40000</v>
      </c>
      <c r="E19" s="7" t="s">
        <v>327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46278</v>
      </c>
      <c r="B20" s="7" t="s">
        <v>270</v>
      </c>
      <c r="C20" s="7" t="s">
        <v>306</v>
      </c>
      <c r="D20" s="9">
        <v>43140</v>
      </c>
      <c r="E20" s="7" t="s">
        <v>307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46280</v>
      </c>
      <c r="B21" s="7" t="s">
        <v>250</v>
      </c>
      <c r="C21" s="7" t="s">
        <v>319</v>
      </c>
      <c r="D21" s="9">
        <v>60000</v>
      </c>
      <c r="E21" s="7" t="s">
        <v>333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46265</v>
      </c>
      <c r="B22" s="7" t="s">
        <v>250</v>
      </c>
      <c r="C22" s="7" t="s">
        <v>260</v>
      </c>
      <c r="D22" s="9">
        <v>50430</v>
      </c>
      <c r="E22" s="7" t="s">
        <v>262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46276</v>
      </c>
      <c r="B23" s="7" t="s">
        <v>250</v>
      </c>
      <c r="C23" s="7" t="s">
        <v>291</v>
      </c>
      <c r="D23" s="9">
        <v>28000</v>
      </c>
      <c r="E23" s="7" t="s">
        <v>298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46280</v>
      </c>
      <c r="B24" s="7" t="s">
        <v>250</v>
      </c>
      <c r="C24" s="7" t="s">
        <v>291</v>
      </c>
      <c r="D24" s="9">
        <v>15140</v>
      </c>
      <c r="E24" s="7" t="s">
        <v>298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46278</v>
      </c>
      <c r="B25" s="7" t="s">
        <v>250</v>
      </c>
      <c r="C25" s="7" t="s">
        <v>299</v>
      </c>
      <c r="D25" s="9">
        <v>50000</v>
      </c>
      <c r="E25" s="7" t="s">
        <v>302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46270</v>
      </c>
      <c r="B26" s="7" t="s">
        <v>270</v>
      </c>
      <c r="C26" s="7" t="s">
        <v>269</v>
      </c>
      <c r="D26" s="9">
        <v>79020</v>
      </c>
      <c r="E26" s="7" t="s">
        <v>275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46238</v>
      </c>
      <c r="B27" s="7" t="s">
        <v>250</v>
      </c>
      <c r="C27" s="7" t="s">
        <v>249</v>
      </c>
      <c r="D27" s="9">
        <v>48000</v>
      </c>
      <c r="E27" s="7" t="s">
        <v>251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46282</v>
      </c>
      <c r="B28" s="7" t="s">
        <v>250</v>
      </c>
      <c r="C28" s="7" t="s">
        <v>249</v>
      </c>
      <c r="D28" s="9">
        <v>35180</v>
      </c>
      <c r="E28" s="7" t="s">
        <v>251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46270</v>
      </c>
      <c r="B29" s="7" t="s">
        <v>270</v>
      </c>
      <c r="C29" s="7" t="s">
        <v>271</v>
      </c>
      <c r="D29" s="9">
        <v>42350</v>
      </c>
      <c r="E29" s="7" t="s">
        <v>274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46282</v>
      </c>
      <c r="B30" s="7" t="s">
        <v>270</v>
      </c>
      <c r="C30" s="7" t="s">
        <v>271</v>
      </c>
      <c r="D30" s="9">
        <v>40000</v>
      </c>
      <c r="E30" s="7" t="s">
        <v>274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46280</v>
      </c>
      <c r="B31" s="7" t="s">
        <v>250</v>
      </c>
      <c r="C31" s="11" t="s">
        <v>323</v>
      </c>
      <c r="D31" s="12">
        <v>40000</v>
      </c>
      <c r="E31" s="11" t="s">
        <v>328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46273</v>
      </c>
      <c r="B32" s="7" t="s">
        <v>250</v>
      </c>
      <c r="C32" s="7" t="s">
        <v>277</v>
      </c>
      <c r="D32" s="9">
        <v>33000</v>
      </c>
      <c r="E32" s="7" t="s">
        <v>282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46273</v>
      </c>
      <c r="B33" s="7" t="s">
        <v>270</v>
      </c>
      <c r="C33" s="7" t="s">
        <v>278</v>
      </c>
      <c r="D33" s="9">
        <v>6840</v>
      </c>
      <c r="E33" s="7" t="s">
        <v>282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46281</v>
      </c>
      <c r="B34" s="7" t="s">
        <v>270</v>
      </c>
      <c r="C34" s="7" t="s">
        <v>278</v>
      </c>
      <c r="D34" s="9">
        <v>5300</v>
      </c>
      <c r="E34" s="7" t="s">
        <v>282</v>
      </c>
      <c r="F34" s="11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46281</v>
      </c>
      <c r="B35" s="7" t="s">
        <v>270</v>
      </c>
      <c r="C35" s="7" t="s">
        <v>278</v>
      </c>
      <c r="D35" s="9">
        <v>5300</v>
      </c>
      <c r="E35" s="7" t="s">
        <v>282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46273</v>
      </c>
      <c r="B36" s="7" t="s">
        <v>270</v>
      </c>
      <c r="C36" s="7" t="s">
        <v>279</v>
      </c>
      <c r="D36" s="9">
        <v>200000</v>
      </c>
      <c r="E36" s="7" t="s">
        <v>281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46264</v>
      </c>
      <c r="B37" s="7" t="s">
        <v>250</v>
      </c>
      <c r="C37" s="7" t="s">
        <v>256</v>
      </c>
      <c r="D37" s="9">
        <v>51930</v>
      </c>
      <c r="E37" s="7" t="s">
        <v>257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46279</v>
      </c>
      <c r="B38" s="7" t="s">
        <v>270</v>
      </c>
      <c r="C38" s="7" t="s">
        <v>312</v>
      </c>
      <c r="D38" s="9">
        <v>25000</v>
      </c>
      <c r="E38" s="7" t="s">
        <v>313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46280</v>
      </c>
      <c r="B39" s="7" t="s">
        <v>250</v>
      </c>
      <c r="C39" s="7" t="s">
        <v>342</v>
      </c>
      <c r="D39" s="9">
        <v>50000</v>
      </c>
      <c r="E39" s="7" t="s">
        <v>343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46280</v>
      </c>
      <c r="B40" s="7" t="s">
        <v>250</v>
      </c>
      <c r="C40" s="7" t="s">
        <v>314</v>
      </c>
      <c r="D40" s="9">
        <v>30000</v>
      </c>
      <c r="E40" s="7" t="s">
        <v>369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>
        <v>46271</v>
      </c>
      <c r="B41" s="11" t="s">
        <v>250</v>
      </c>
      <c r="C41" s="11" t="s">
        <v>276</v>
      </c>
      <c r="D41" s="12">
        <v>20000</v>
      </c>
      <c r="E41" s="11" t="s">
        <v>283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46278</v>
      </c>
      <c r="B42" s="7" t="s">
        <v>250</v>
      </c>
      <c r="C42" s="7" t="s">
        <v>276</v>
      </c>
      <c r="D42" s="9">
        <v>9640</v>
      </c>
      <c r="E42" s="7" t="s">
        <v>283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46280</v>
      </c>
      <c r="B43" s="7" t="s">
        <v>250</v>
      </c>
      <c r="C43" s="7" t="s">
        <v>339</v>
      </c>
      <c r="D43" s="9">
        <v>65160</v>
      </c>
      <c r="E43" s="7" t="s">
        <v>340</v>
      </c>
      <c r="F43" s="11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46280</v>
      </c>
      <c r="B44" s="7" t="s">
        <v>250</v>
      </c>
      <c r="C44" s="7" t="s">
        <v>339</v>
      </c>
      <c r="D44" s="9">
        <v>35890</v>
      </c>
      <c r="E44" s="7" t="s">
        <v>341</v>
      </c>
      <c r="F44" s="11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46280</v>
      </c>
      <c r="B45" s="7" t="s">
        <v>250</v>
      </c>
      <c r="C45" s="7" t="s">
        <v>344</v>
      </c>
      <c r="D45" s="9">
        <v>50000</v>
      </c>
      <c r="E45" s="7" t="s">
        <v>347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46279</v>
      </c>
      <c r="B46" s="7" t="s">
        <v>250</v>
      </c>
      <c r="C46" s="7" t="s">
        <v>308</v>
      </c>
      <c r="D46" s="9">
        <v>116000</v>
      </c>
      <c r="E46" s="7" t="s">
        <v>363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46277</v>
      </c>
      <c r="B47" s="7" t="s">
        <v>250</v>
      </c>
      <c r="C47" s="7" t="s">
        <v>292</v>
      </c>
      <c r="D47" s="9">
        <v>95000</v>
      </c>
      <c r="E47" s="7" t="s">
        <v>293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46280</v>
      </c>
      <c r="B48" s="7" t="s">
        <v>250</v>
      </c>
      <c r="C48" s="7" t="s">
        <v>322</v>
      </c>
      <c r="D48" s="9">
        <v>27900</v>
      </c>
      <c r="E48" s="7" t="s">
        <v>324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46275</v>
      </c>
      <c r="B49" s="7" t="s">
        <v>250</v>
      </c>
      <c r="C49" s="7" t="s">
        <v>286</v>
      </c>
      <c r="D49" s="9">
        <v>24700</v>
      </c>
      <c r="E49" s="7" t="s">
        <v>287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46279</v>
      </c>
      <c r="B50" s="7" t="s">
        <v>250</v>
      </c>
      <c r="C50" s="7" t="s">
        <v>286</v>
      </c>
      <c r="D50" s="9">
        <v>20000</v>
      </c>
      <c r="E50" s="7" t="s">
        <v>287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10">
        <v>46275</v>
      </c>
      <c r="B51" s="11" t="s">
        <v>250</v>
      </c>
      <c r="C51" s="11" t="s">
        <v>285</v>
      </c>
      <c r="D51" s="12">
        <v>33140</v>
      </c>
      <c r="E51" s="11" t="s">
        <v>284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46270</v>
      </c>
      <c r="B52" s="7" t="s">
        <v>270</v>
      </c>
      <c r="C52" s="7" t="s">
        <v>272</v>
      </c>
      <c r="D52" s="9">
        <v>50000</v>
      </c>
      <c r="E52" s="7" t="s">
        <v>273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46280</v>
      </c>
      <c r="B53" s="7" t="s">
        <v>250</v>
      </c>
      <c r="C53" s="7" t="s">
        <v>315</v>
      </c>
      <c r="D53" s="9">
        <v>100000</v>
      </c>
      <c r="E53" s="7" t="s">
        <v>329</v>
      </c>
      <c r="F53" s="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46277</v>
      </c>
      <c r="B54" s="7" t="s">
        <v>250</v>
      </c>
      <c r="C54" s="7" t="s">
        <v>294</v>
      </c>
      <c r="D54" s="9">
        <v>10000</v>
      </c>
      <c r="E54" s="7" t="s">
        <v>297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46280</v>
      </c>
      <c r="B55" s="7" t="s">
        <v>250</v>
      </c>
      <c r="C55" s="7" t="s">
        <v>317</v>
      </c>
      <c r="D55" s="9">
        <v>44140</v>
      </c>
      <c r="E55" s="7" t="s">
        <v>348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46266</v>
      </c>
      <c r="B56" s="7" t="s">
        <v>250</v>
      </c>
      <c r="C56" s="7" t="s">
        <v>263</v>
      </c>
      <c r="D56" s="9">
        <v>50000</v>
      </c>
      <c r="E56" s="7" t="s">
        <v>264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46281</v>
      </c>
      <c r="B57" s="7" t="s">
        <v>250</v>
      </c>
      <c r="C57" s="7" t="s">
        <v>345</v>
      </c>
      <c r="D57" s="9">
        <v>20000</v>
      </c>
      <c r="E57" s="7" t="s">
        <v>346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46279</v>
      </c>
      <c r="B58" s="7" t="s">
        <v>250</v>
      </c>
      <c r="C58" s="7" t="s">
        <v>309</v>
      </c>
      <c r="D58" s="9">
        <v>36050</v>
      </c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46279</v>
      </c>
      <c r="B59" s="7" t="s">
        <v>250</v>
      </c>
      <c r="C59" s="7" t="s">
        <v>310</v>
      </c>
      <c r="D59" s="9">
        <v>100000</v>
      </c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46279</v>
      </c>
      <c r="B60" s="7" t="s">
        <v>270</v>
      </c>
      <c r="C60" s="7" t="s">
        <v>311</v>
      </c>
      <c r="D60" s="9">
        <v>20180</v>
      </c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46280</v>
      </c>
      <c r="B61" s="7" t="s">
        <v>250</v>
      </c>
      <c r="C61" s="11" t="s">
        <v>316</v>
      </c>
      <c r="D61" s="12">
        <v>10000</v>
      </c>
      <c r="E61" s="1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46281</v>
      </c>
      <c r="B62" s="7" t="s">
        <v>250</v>
      </c>
      <c r="C62" s="7" t="s">
        <v>316</v>
      </c>
      <c r="D62" s="9">
        <v>10000</v>
      </c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46282</v>
      </c>
      <c r="B63" s="7" t="s">
        <v>250</v>
      </c>
      <c r="C63" s="7" t="s">
        <v>364</v>
      </c>
      <c r="D63" s="9">
        <v>40000</v>
      </c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46283</v>
      </c>
      <c r="B64" s="7" t="s">
        <v>250</v>
      </c>
      <c r="C64" s="7" t="s">
        <v>365</v>
      </c>
      <c r="D64" s="9">
        <v>50000</v>
      </c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64">
    <sortCondition ref="E2:E64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ACCOUNT'!AC135</f>
        <v>24000</v>
      </c>
      <c r="C2" s="15">
        <f>B2*0.7</f>
        <v>16800</v>
      </c>
      <c r="D2" s="15"/>
      <c r="E2" s="16"/>
      <c r="F2" s="15">
        <f>$C$2-D2</f>
        <v>16800</v>
      </c>
    </row>
    <row r="3" spans="1:8" x14ac:dyDescent="0.25">
      <c r="A3" s="4" t="s">
        <v>229</v>
      </c>
      <c r="B3" s="15">
        <f>SUMIF('1ST TERM ACCOUNT'!T11:T134,6000)</f>
        <v>192000</v>
      </c>
      <c r="C3" s="15"/>
      <c r="D3" s="15"/>
      <c r="E3" s="16"/>
      <c r="F3" s="15">
        <f>$C$2-(D2+D3)</f>
        <v>16800</v>
      </c>
    </row>
    <row r="4" spans="1:8" x14ac:dyDescent="0.25">
      <c r="A4" s="4" t="s">
        <v>228</v>
      </c>
      <c r="B4" s="15">
        <f>B3-B2</f>
        <v>168000</v>
      </c>
      <c r="C4" s="15"/>
      <c r="D4" s="15"/>
      <c r="E4" s="16"/>
      <c r="F4" s="15">
        <f>$C$2-(D2+D3+D4)</f>
        <v>16800</v>
      </c>
    </row>
    <row r="5" spans="1:8" x14ac:dyDescent="0.25">
      <c r="B5" s="15"/>
      <c r="C5" s="15"/>
      <c r="D5" s="15"/>
      <c r="E5" s="16"/>
      <c r="F5" s="15">
        <f>$C$2-(D2+D3+D4+D5)</f>
        <v>16800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ACCOUNT'!AD135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ACCOUNT'!T11:T134,8000)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ACCOUNT'!AE135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ACCOUNT'!W11:W134)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2026-09-18T22:48:49Z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