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509D76EA-8349-4561-BD0A-BCB99C049F1C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ACCOUNT'!$A$1:$AE$138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5" i="14" l="1"/>
  <c r="K115" i="14"/>
  <c r="L115" i="14"/>
  <c r="M115" i="14"/>
  <c r="N115" i="14"/>
  <c r="Z115" i="14"/>
  <c r="AB115" i="14" s="1"/>
  <c r="J101" i="14"/>
  <c r="K101" i="14"/>
  <c r="L101" i="14"/>
  <c r="M101" i="14"/>
  <c r="N101" i="14"/>
  <c r="Z101" i="14"/>
  <c r="AB101" i="14"/>
  <c r="AC101" i="14"/>
  <c r="AD101" i="14"/>
  <c r="AE101" i="14"/>
  <c r="J41" i="14"/>
  <c r="K41" i="14"/>
  <c r="L41" i="14"/>
  <c r="M41" i="14"/>
  <c r="N41" i="14"/>
  <c r="Z41" i="14"/>
  <c r="AB41" i="14"/>
  <c r="AC41" i="14"/>
  <c r="AD41" i="14"/>
  <c r="AE41" i="14"/>
  <c r="J86" i="14"/>
  <c r="K86" i="14"/>
  <c r="L86" i="14"/>
  <c r="M86" i="14"/>
  <c r="N86" i="14"/>
  <c r="J71" i="14"/>
  <c r="K71" i="14"/>
  <c r="L71" i="14"/>
  <c r="M71" i="14"/>
  <c r="N71" i="14"/>
  <c r="O139" i="14"/>
  <c r="P139" i="14"/>
  <c r="Q139" i="14"/>
  <c r="R139" i="14"/>
  <c r="S139" i="14"/>
  <c r="T139" i="14"/>
  <c r="U139" i="14"/>
  <c r="V139" i="14"/>
  <c r="W139" i="14"/>
  <c r="X139" i="14"/>
  <c r="Y139" i="14"/>
  <c r="AF139" i="14"/>
  <c r="AA139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0" i="14"/>
  <c r="K70" i="14"/>
  <c r="L70" i="14"/>
  <c r="M70" i="14"/>
  <c r="N70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2" i="14"/>
  <c r="K92" i="14"/>
  <c r="L92" i="14"/>
  <c r="M92" i="14"/>
  <c r="N92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0" i="14"/>
  <c r="K100" i="14"/>
  <c r="L100" i="14"/>
  <c r="M100" i="14"/>
  <c r="N100" i="14"/>
  <c r="J102" i="14"/>
  <c r="K102" i="14"/>
  <c r="L102" i="14"/>
  <c r="M102" i="14"/>
  <c r="N102" i="14"/>
  <c r="J103" i="14"/>
  <c r="K103" i="14"/>
  <c r="L103" i="14"/>
  <c r="M103" i="14"/>
  <c r="N103" i="14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Z107" i="14" s="1"/>
  <c r="AB107" i="14" s="1"/>
  <c r="J108" i="14"/>
  <c r="K108" i="14"/>
  <c r="L108" i="14"/>
  <c r="M108" i="14"/>
  <c r="N108" i="14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6" i="14"/>
  <c r="K116" i="14"/>
  <c r="L116" i="14"/>
  <c r="M116" i="14"/>
  <c r="N116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135" i="14"/>
  <c r="K135" i="14"/>
  <c r="L135" i="14"/>
  <c r="M135" i="14"/>
  <c r="N135" i="14"/>
  <c r="J136" i="14"/>
  <c r="K136" i="14"/>
  <c r="L136" i="14"/>
  <c r="M136" i="14"/>
  <c r="N136" i="14"/>
  <c r="J137" i="14"/>
  <c r="K137" i="14"/>
  <c r="L137" i="14"/>
  <c r="M137" i="14"/>
  <c r="N137" i="14"/>
  <c r="J138" i="14"/>
  <c r="K138" i="14"/>
  <c r="L138" i="14"/>
  <c r="M138" i="14"/>
  <c r="N138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J53" i="14"/>
  <c r="K53" i="14"/>
  <c r="L53" i="14"/>
  <c r="M53" i="14"/>
  <c r="N53" i="14"/>
  <c r="F1" i="13"/>
  <c r="J2" i="14"/>
  <c r="K2" i="14"/>
  <c r="L2" i="14"/>
  <c r="M2" i="14"/>
  <c r="N2" i="14"/>
  <c r="B15" i="12"/>
  <c r="B9" i="12"/>
  <c r="B3" i="12"/>
  <c r="AE115" i="14" l="1"/>
  <c r="AD115" i="14"/>
  <c r="AC115" i="14"/>
  <c r="Z86" i="14"/>
  <c r="AB86" i="14" s="1"/>
  <c r="AE86" i="14" s="1"/>
  <c r="Z71" i="14"/>
  <c r="AD86" i="14"/>
  <c r="AC86" i="14"/>
  <c r="J139" i="14"/>
  <c r="K139" i="14"/>
  <c r="AB71" i="14"/>
  <c r="AC71" i="14" s="1"/>
  <c r="M139" i="14"/>
  <c r="L139" i="14"/>
  <c r="N139" i="14"/>
  <c r="Z46" i="14"/>
  <c r="AB46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0" i="14"/>
  <c r="AB70" i="14" s="1"/>
  <c r="Z72" i="14"/>
  <c r="AB72" i="14" s="1"/>
  <c r="AE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2" i="14"/>
  <c r="AB92" i="14" s="1"/>
  <c r="Z93" i="14"/>
  <c r="AB93" i="14" s="1"/>
  <c r="Z94" i="14"/>
  <c r="AB94" i="14" s="1"/>
  <c r="Z97" i="14"/>
  <c r="AB97" i="14" s="1"/>
  <c r="Z98" i="14"/>
  <c r="AB98" i="14" s="1"/>
  <c r="Z99" i="14"/>
  <c r="AB99" i="14" s="1"/>
  <c r="Z100" i="14"/>
  <c r="AB100" i="14" s="1"/>
  <c r="Z102" i="14"/>
  <c r="AB102" i="14" s="1"/>
  <c r="Z103" i="14"/>
  <c r="AB103" i="14" s="1"/>
  <c r="Z104" i="14"/>
  <c r="AB104" i="14" s="1"/>
  <c r="Z105" i="14"/>
  <c r="AB105" i="14" s="1"/>
  <c r="Z106" i="14"/>
  <c r="AB106" i="14" s="1"/>
  <c r="Z120" i="14"/>
  <c r="AB120" i="14" s="1"/>
  <c r="Z124" i="14"/>
  <c r="AB124" i="14" s="1"/>
  <c r="Z125" i="14"/>
  <c r="AB125" i="14" s="1"/>
  <c r="Z127" i="14"/>
  <c r="AB127" i="14" s="1"/>
  <c r="Z129" i="14"/>
  <c r="AB129" i="14" s="1"/>
  <c r="Z132" i="14"/>
  <c r="AB132" i="14" s="1"/>
  <c r="Z134" i="14"/>
  <c r="AB134" i="14" s="1"/>
  <c r="Z136" i="14"/>
  <c r="AB136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2" i="14"/>
  <c r="AB42" i="14" s="1"/>
  <c r="Z43" i="14"/>
  <c r="AB43" i="14" s="1"/>
  <c r="Z108" i="14"/>
  <c r="AB108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6" i="14"/>
  <c r="AB116" i="14" s="1"/>
  <c r="Z117" i="14"/>
  <c r="AB117" i="14" s="1"/>
  <c r="Z118" i="14"/>
  <c r="AB118" i="14" s="1"/>
  <c r="Z119" i="14"/>
  <c r="AB119" i="14" s="1"/>
  <c r="Z121" i="14"/>
  <c r="AB121" i="14" s="1"/>
  <c r="Z122" i="14"/>
  <c r="AB122" i="14" s="1"/>
  <c r="Z126" i="14"/>
  <c r="AB126" i="14" s="1"/>
  <c r="Z128" i="14"/>
  <c r="AB128" i="14" s="1"/>
  <c r="Z130" i="14"/>
  <c r="AB130" i="14" s="1"/>
  <c r="Z131" i="14"/>
  <c r="AB131" i="14" s="1"/>
  <c r="Z133" i="14"/>
  <c r="AB133" i="14" s="1"/>
  <c r="Z135" i="14"/>
  <c r="AB135" i="14" s="1"/>
  <c r="Z137" i="14"/>
  <c r="AB137" i="14" s="1"/>
  <c r="Z138" i="14"/>
  <c r="AB138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4" i="14"/>
  <c r="AB44" i="14" s="1"/>
  <c r="Z45" i="14"/>
  <c r="AB45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53" i="14"/>
  <c r="AB53" i="14" s="1"/>
  <c r="Z95" i="14"/>
  <c r="AB95" i="14" s="1"/>
  <c r="Z96" i="14"/>
  <c r="AB96" i="14" s="1"/>
  <c r="Z123" i="14"/>
  <c r="AB123" i="14" s="1"/>
  <c r="Z54" i="14"/>
  <c r="AB54" i="14" s="1"/>
  <c r="AE94" i="14"/>
  <c r="AD94" i="14"/>
  <c r="AC94" i="14"/>
  <c r="Z2" i="14"/>
  <c r="AD71" i="14" l="1"/>
  <c r="AE71" i="14"/>
  <c r="AB2" i="14"/>
  <c r="Z139" i="14"/>
  <c r="AD62" i="14"/>
  <c r="AE62" i="14"/>
  <c r="AC62" i="14"/>
  <c r="AE85" i="14"/>
  <c r="AD85" i="14"/>
  <c r="AC85" i="14"/>
  <c r="AC72" i="14"/>
  <c r="AD72" i="14"/>
  <c r="AC11" i="14"/>
  <c r="AD11" i="14"/>
  <c r="AE11" i="14"/>
  <c r="AE19" i="14"/>
  <c r="AD19" i="14"/>
  <c r="AC19" i="14"/>
  <c r="AD34" i="14"/>
  <c r="AC34" i="14"/>
  <c r="AE34" i="14"/>
  <c r="AC95" i="14"/>
  <c r="AE95" i="14"/>
  <c r="AD95" i="14"/>
  <c r="AC123" i="14"/>
  <c r="AD123" i="14"/>
  <c r="AE123" i="14"/>
  <c r="AC54" i="14"/>
  <c r="AD54" i="14"/>
  <c r="AE54" i="14"/>
  <c r="AC96" i="14"/>
  <c r="AD96" i="14"/>
  <c r="AE96" i="14"/>
  <c r="AC61" i="14"/>
  <c r="AD61" i="14"/>
  <c r="AE61" i="14"/>
  <c r="AC134" i="14"/>
  <c r="AD134" i="14"/>
  <c r="AE134" i="14"/>
  <c r="AC35" i="14"/>
  <c r="AE35" i="14"/>
  <c r="AD35" i="14"/>
  <c r="AD42" i="14"/>
  <c r="AE42" i="14"/>
  <c r="AC42" i="14"/>
  <c r="AC66" i="14"/>
  <c r="AD66" i="14"/>
  <c r="AE66" i="14"/>
  <c r="AE50" i="14"/>
  <c r="AD50" i="14"/>
  <c r="AC50" i="14"/>
  <c r="AC121" i="14"/>
  <c r="AD121" i="14"/>
  <c r="AE121" i="14"/>
  <c r="AD87" i="14"/>
  <c r="AC87" i="14"/>
  <c r="AE87" i="14"/>
  <c r="AD3" i="14"/>
  <c r="AE3" i="14"/>
  <c r="AC3" i="14"/>
  <c r="AC7" i="14"/>
  <c r="AD7" i="14"/>
  <c r="AE7" i="14"/>
  <c r="AC44" i="14"/>
  <c r="AD44" i="14"/>
  <c r="AE44" i="14"/>
  <c r="AD9" i="14"/>
  <c r="AC9" i="14"/>
  <c r="AE9" i="14"/>
  <c r="AE78" i="14"/>
  <c r="AD78" i="14"/>
  <c r="AC78" i="14"/>
  <c r="AD63" i="14"/>
  <c r="AE63" i="14"/>
  <c r="AC63" i="14"/>
  <c r="AE132" i="14"/>
  <c r="AD132" i="14"/>
  <c r="AC132" i="14"/>
  <c r="AE114" i="14"/>
  <c r="AD114" i="14"/>
  <c r="AC114" i="14"/>
  <c r="AE76" i="14"/>
  <c r="AD76" i="14"/>
  <c r="AC76" i="14"/>
  <c r="AE90" i="14"/>
  <c r="AD90" i="14"/>
  <c r="AC90" i="14"/>
  <c r="AC100" i="14"/>
  <c r="AD100" i="14"/>
  <c r="AE100" i="14"/>
  <c r="AC125" i="14"/>
  <c r="AD125" i="14"/>
  <c r="AE125" i="14"/>
  <c r="AE88" i="14"/>
  <c r="AD88" i="14"/>
  <c r="AC88" i="14"/>
  <c r="AC112" i="14"/>
  <c r="AD112" i="14"/>
  <c r="AE112" i="14"/>
  <c r="AC122" i="14"/>
  <c r="AD122" i="14"/>
  <c r="AE122" i="14"/>
  <c r="AE73" i="14"/>
  <c r="AC73" i="14"/>
  <c r="AD73" i="14"/>
  <c r="AC67" i="14"/>
  <c r="AD67" i="14"/>
  <c r="AE67" i="14"/>
  <c r="AC57" i="14"/>
  <c r="AE57" i="14"/>
  <c r="AD57" i="14"/>
  <c r="AC51" i="14"/>
  <c r="AD51" i="14"/>
  <c r="AE51" i="14"/>
  <c r="AE47" i="14"/>
  <c r="AD47" i="14"/>
  <c r="AC47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9" i="14"/>
  <c r="AE79" i="14"/>
  <c r="AC79" i="14"/>
  <c r="AE108" i="14"/>
  <c r="AD108" i="14"/>
  <c r="AC108" i="14"/>
  <c r="AC129" i="14"/>
  <c r="AE129" i="14"/>
  <c r="AD129" i="14"/>
  <c r="AD138" i="14"/>
  <c r="AC138" i="14"/>
  <c r="AE138" i="14"/>
  <c r="AE20" i="14"/>
  <c r="AC20" i="14"/>
  <c r="AD20" i="14"/>
  <c r="AE36" i="14"/>
  <c r="AD36" i="14"/>
  <c r="AC36" i="14"/>
  <c r="AE75" i="14"/>
  <c r="AD75" i="14"/>
  <c r="AC75" i="14"/>
  <c r="AC97" i="14"/>
  <c r="AE97" i="14"/>
  <c r="AD97" i="14"/>
  <c r="AE110" i="14"/>
  <c r="AD110" i="14"/>
  <c r="AC110" i="14"/>
  <c r="AE127" i="14"/>
  <c r="AD127" i="14"/>
  <c r="AC127" i="14"/>
  <c r="AE5" i="14"/>
  <c r="AD5" i="14"/>
  <c r="AC5" i="14"/>
  <c r="AE104" i="14"/>
  <c r="AD104" i="14"/>
  <c r="AC104" i="14"/>
  <c r="AD4" i="14"/>
  <c r="AE4" i="14"/>
  <c r="AC4" i="14"/>
  <c r="AC84" i="14"/>
  <c r="AD84" i="14"/>
  <c r="AE84" i="14"/>
  <c r="AE105" i="14"/>
  <c r="AD105" i="14"/>
  <c r="AC105" i="14"/>
  <c r="AC136" i="14"/>
  <c r="AD136" i="14"/>
  <c r="AE136" i="14"/>
  <c r="AE119" i="14"/>
  <c r="AD119" i="14"/>
  <c r="AC119" i="14"/>
  <c r="AE111" i="14"/>
  <c r="AD111" i="14"/>
  <c r="AC111" i="14"/>
  <c r="AE106" i="14"/>
  <c r="AD106" i="14"/>
  <c r="AC106" i="14"/>
  <c r="AE98" i="14"/>
  <c r="AD98" i="14"/>
  <c r="AC98" i="14"/>
  <c r="AC92" i="14"/>
  <c r="AD92" i="14"/>
  <c r="AE92" i="14"/>
  <c r="AD81" i="14"/>
  <c r="AE81" i="14"/>
  <c r="AC81" i="14"/>
  <c r="AE74" i="14"/>
  <c r="AD74" i="14"/>
  <c r="AC74" i="14"/>
  <c r="AC45" i="14"/>
  <c r="AE45" i="14"/>
  <c r="AD45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4" i="14"/>
  <c r="AD64" i="14"/>
  <c r="AC64" i="14"/>
  <c r="AE133" i="14"/>
  <c r="AD133" i="14"/>
  <c r="AC133" i="14"/>
  <c r="AE126" i="14"/>
  <c r="AD126" i="14"/>
  <c r="AC126" i="14"/>
  <c r="AD116" i="14"/>
  <c r="AE116" i="14"/>
  <c r="AC116" i="14"/>
  <c r="AE69" i="14"/>
  <c r="AC69" i="14"/>
  <c r="AD69" i="14"/>
  <c r="AE59" i="14"/>
  <c r="AC59" i="14"/>
  <c r="AD59" i="14"/>
  <c r="AD49" i="14"/>
  <c r="AC49" i="14"/>
  <c r="AE49" i="14"/>
  <c r="AD40" i="14"/>
  <c r="AE40" i="14"/>
  <c r="AC40" i="14"/>
  <c r="AE33" i="14"/>
  <c r="AC33" i="14"/>
  <c r="AD33" i="14"/>
  <c r="AD25" i="14"/>
  <c r="AC25" i="14"/>
  <c r="AE25" i="14"/>
  <c r="AE83" i="14"/>
  <c r="AC83" i="14"/>
  <c r="AD83" i="14"/>
  <c r="AD8" i="14"/>
  <c r="AE8" i="14"/>
  <c r="AC8" i="14"/>
  <c r="AE103" i="14"/>
  <c r="AC103" i="14"/>
  <c r="AD103" i="14"/>
  <c r="AE80" i="14"/>
  <c r="AD80" i="14"/>
  <c r="AC80" i="14"/>
  <c r="AE93" i="14"/>
  <c r="AD93" i="14"/>
  <c r="AC93" i="14"/>
  <c r="AE43" i="14"/>
  <c r="AD43" i="14"/>
  <c r="AC43" i="14"/>
  <c r="AC60" i="14"/>
  <c r="AD60" i="14"/>
  <c r="AE60" i="14"/>
  <c r="AD70" i="14"/>
  <c r="AE70" i="14"/>
  <c r="AC70" i="14"/>
  <c r="AE113" i="14"/>
  <c r="AD113" i="14"/>
  <c r="AC113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8" i="14"/>
  <c r="AC48" i="14"/>
  <c r="AD48" i="14"/>
  <c r="AE68" i="14"/>
  <c r="AD68" i="14"/>
  <c r="AC68" i="14"/>
  <c r="AC77" i="14"/>
  <c r="AD77" i="14"/>
  <c r="AE77" i="14"/>
  <c r="AC17" i="14"/>
  <c r="AE17" i="14"/>
  <c r="AD17" i="14"/>
  <c r="AE26" i="14"/>
  <c r="AD26" i="14"/>
  <c r="AC26" i="14"/>
  <c r="AD131" i="14"/>
  <c r="AC131" i="14"/>
  <c r="AE131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6" i="14"/>
  <c r="AD46" i="14"/>
  <c r="AC46" i="14"/>
  <c r="AC56" i="14"/>
  <c r="AD56" i="14"/>
  <c r="AE56" i="14"/>
  <c r="AD65" i="14"/>
  <c r="AC65" i="14"/>
  <c r="AE65" i="14"/>
  <c r="AD82" i="14"/>
  <c r="AC82" i="14"/>
  <c r="AE82" i="14"/>
  <c r="AE102" i="14"/>
  <c r="AC102" i="14"/>
  <c r="AD102" i="14"/>
  <c r="AC120" i="14"/>
  <c r="AD120" i="14"/>
  <c r="AE120" i="14"/>
  <c r="AC130" i="14"/>
  <c r="AD130" i="14"/>
  <c r="AE130" i="14"/>
  <c r="AC137" i="14"/>
  <c r="AE137" i="14"/>
  <c r="AD137" i="14"/>
  <c r="AD89" i="14"/>
  <c r="AC89" i="14"/>
  <c r="AE89" i="14"/>
  <c r="AD107" i="14"/>
  <c r="AE107" i="14"/>
  <c r="AC107" i="14"/>
  <c r="AC109" i="14"/>
  <c r="AD109" i="14"/>
  <c r="AE109" i="14"/>
  <c r="AD128" i="14"/>
  <c r="AE128" i="14"/>
  <c r="AC128" i="14"/>
  <c r="AE135" i="14"/>
  <c r="AD135" i="14"/>
  <c r="AC135" i="14"/>
  <c r="AC52" i="14"/>
  <c r="AD52" i="14"/>
  <c r="AE52" i="14"/>
  <c r="AC124" i="14"/>
  <c r="AD124" i="14"/>
  <c r="AE124" i="14"/>
  <c r="AD27" i="14"/>
  <c r="AE27" i="14"/>
  <c r="AC27" i="14"/>
  <c r="AD99" i="14"/>
  <c r="AC99" i="14"/>
  <c r="AE99" i="14"/>
  <c r="AD91" i="14"/>
  <c r="AC91" i="14"/>
  <c r="AE91" i="14"/>
  <c r="AC118" i="14"/>
  <c r="AD118" i="14"/>
  <c r="AE118" i="14"/>
  <c r="AD117" i="14"/>
  <c r="AC117" i="14"/>
  <c r="AE117" i="14"/>
  <c r="AE16" i="14"/>
  <c r="AD16" i="14"/>
  <c r="AC16" i="14"/>
  <c r="AB139" i="14" l="1"/>
  <c r="AE2" i="14"/>
  <c r="AC2" i="14"/>
  <c r="AD2" i="14"/>
  <c r="AC58" i="14"/>
  <c r="AD58" i="14"/>
  <c r="AE58" i="14"/>
  <c r="AC53" i="14"/>
  <c r="AD53" i="14"/>
  <c r="AE53" i="14"/>
  <c r="AD139" i="14" l="1"/>
  <c r="B8" i="12" s="1"/>
  <c r="AC139" i="14"/>
  <c r="B2" i="12" s="1"/>
  <c r="C2" i="12" s="1"/>
  <c r="AE139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<sst xmlns="http://schemas.openxmlformats.org/spreadsheetml/2006/main" count="831" uniqueCount="405">
  <si>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</si>
  <si>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</si>
  <si>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</si>
  <si>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</si>
  <si>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</si>
  <si>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</si>
  <si>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</si>
  <si>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</si>
  <si>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</si>
  <si>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</si>
  <si>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</si>
  <si>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</si>
  <si>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</si>
  <si>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</si>
  <si>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</si>
  <si>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</si>
  <si>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</si>
  <si>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</si>
  <si>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</si>
  <si>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</si>
  <si>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</si>
  <si>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</si>
  <si>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</si>
  <si>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</si>
  <si>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</si>
  <si>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</si>
  <si>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</si>
  <si>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</si>
  <si>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</si>
  <si>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</si>
  <si>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</si>
  <si>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</si>
  <si>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</si>
  <si>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</si>
  <si>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</si>
  <si>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</si>
  <si>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</si>
  <si>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</si>
  <si>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</si>
  <si>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</si>
  <si>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</si>
  <si>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</si>
  <si>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</si>
  <si>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</si>
  <si>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</si>
  <si>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</si>
  <si>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</si>
  <si>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</si>
  <si>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</si>
  <si>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</si>
  <si>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</si>
  <si>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</si>
  <si>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</si>
  <si>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</si>
  <si>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</si>
  <si>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</si>
  <si>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</si>
  <si>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</si>
  <si>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</si>
  <si>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</si>
  <si>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</si>
  <si>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</si>
  <si>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</si>
  <si>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</si>
  <si>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</si>
  <si>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</si>
  <si>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</si>
  <si>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</si>
  <si>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</si>
  <si>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</si>
  <si>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</si>
  <si>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</si>
  <si>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</si>
  <si>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</si>
  <si>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</si>
  <si>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</si>
  <si>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</si>
  <si>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</si>
  <si>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</si>
  <si>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</si>
  <si>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</si>
  <si>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</si>
  <si>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</si>
  <si>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</si>
  <si>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</si>
  <si>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</si>
  <si>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</si>
  <si>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</si>
  <si>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</si>
  <si>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</si>
  <si>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</si>
  <si>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</si>
  <si>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</si>
  <si>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</si>
  <si>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</si>
  <si>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</si>
  <si>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</si>
  <si>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</si>
  <si>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</si>
  <si>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</si>
  <si>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</si>
  <si>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</si>
  <si>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</si>
  <si>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</si>
  <si>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</si>
  <si>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</si>
  <si>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</si>
  <si>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</si>
  <si>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</si>
  <si>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</si>
  <si>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</si>
  <si>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</si>
  <si>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</si>
  <si>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</si>
  <si>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</si>
  <si>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</si>
  <si>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</si>
  <si>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</si>
  <si>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</si>
  <si>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</si>
  <si>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</si>
  <si>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</si>
  <si>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</si>
  <si>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</si>
  <si>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</si>
  <si>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</si>
  <si>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</si>
  <si>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</si>
  <si>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</si>
  <si>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</si>
  <si>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</si>
  <si>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</si>
  <si>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</si>
  <si>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</si>
  <si>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</si>
  <si>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</si>
  <si>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</si>
  <si>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</si>
  <si>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</si>
  <si>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</si>
  <si>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</si>
  <si>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</si>
  <si>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</si>
  <si>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</si>
  <si>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</si>
  <si>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</si>
  <si>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</si>
  <si>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</si>
  <si>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</si>
  <si>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</si>
  <si>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</si>
  <si>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</si>
  <si>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</si>
  <si>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</si>
  <si>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</si>
  <si>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</si>
  <si>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</si>
  <si>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</si>
  <si>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</si>
  <si>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</si>
  <si>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</si>
  <si>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</si>
  <si>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</si>
  <si>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</si>
  <si>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</si>
  <si>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</si>
  <si>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</si>
  <si>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</si>
  <si>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</si>
  <si>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</si>
  <si>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</si>
  <si>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</si>
  <si>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</si>
  <si>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</si>
  <si>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</si>
  <si>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</si>
  <si>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</si>
  <si>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</si>
  <si>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</si>
  <si>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</si>
  <si>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</si>
  <si>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</si>
  <si>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</si>
  <si>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</si>
  <si>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</si>
  <si>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</si>
  <si>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</si>
  <si>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</si>
  <si>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</si>
  <si>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</si>
  <si>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</si>
  <si>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</si>
  <si>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</si>
  <si>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</si>
  <si>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</si>
  <si>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</si>
  <si>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</si>
  <si>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</si>
  <si>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</si>
  <si>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</si>
  <si>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</si>
  <si>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</si>
  <si>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</si>
  <si>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</si>
  <si>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</si>
  <si>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</si>
  <si>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</si>
  <si>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</si>
  <si>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</si>
  <si>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</si>
  <si>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</si>
  <si>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</si>
  <si>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</si>
  <si>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</si>
  <si>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</si>
  <si>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</si>
  <si>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</si>
  <si>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</si>
  <si>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</si>
  <si>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</si>
  <si>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</si>
  <si>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</si>
  <si>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</si>
  <si>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</si>
  <si>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</si>
  <si>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</si>
  <si>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</si>
  <si>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</si>
  <si>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</si>
  <si>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</si>
  <si>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</si>
  <si>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</si>
  <si>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</si>
  <si>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</si>
  <si>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</si>
  <si>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</si>
  <si>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</si>
  <si>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</si>
  <si>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</si>
  <si>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</si>
  <si>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</si>
  <si>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</si>
  <si>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</si>
  <si>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</si>
  <si>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</si>
  <si>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</si>
  <si>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</si>
  <si>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</si>
  <si>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</si>
  <si>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</si>
  <si>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</si>
  <si>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</si>
  <si>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</si>
  <si>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</si>
  <si>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</si>
  <si>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</si>
  <si>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</si>
  <si>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</si>
  <si>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</si>
  <si>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</si>
  <si>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</si>
  <si>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</si>
  <si>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</si>
  <si>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</si>
  <si>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</si>
  <si>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</si>
  <si>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</si>
  <si>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</si>
  <si>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</si>
  <si>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</si>
  <si>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</si>
  <si>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</si>
  <si>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</si>
  <si>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</si>
  <si>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</si>
  <si>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</si>
  <si>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</si>
  <si>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</si>
  <si>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</si>
  <si>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</si>
  <si>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</si>
  <si>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</si>
  <si>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</si>
  <si>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</si>
  <si>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</si>
  <si>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</si>
  <si>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</si>
  <si>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</si>
  <si>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</si>
  <si>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</si>
  <si>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</si>
  <si>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</si>
  <si>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</si>
  <si>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</si>
  <si>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</si>
  <si>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</si>
  <si>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</si>
  <si>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</si>
  <si>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</si>
  <si>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</si>
  <si>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</si>
  <si>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</si>
  <si>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</si>
  <si>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</si>
  <si>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</si>
  <si>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</si>
  <si>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</si>
  <si>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</si>
  <si>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</si>
  <si>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</si>
  <si>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</si>
  <si>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</si>
  <si>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</si>
  <si>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</si>
  <si>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</si>
  <si>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</si>
  <si>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</si>
  <si>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</si>
  <si>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</si>
  <si>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</si>
  <si>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</si>
  <si>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</si>
  <si>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</si>
  <si>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</si>
  <si>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</si>
  <si>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</si>
  <si>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</si>
  <si>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</si>
  <si>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</si>
  <si>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</si>
  <si>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</si>
  <si>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</si>
  <si>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</si>
  <si>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</si>
  <si>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</si>
  <si>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</si>
  <si>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</si>
  <si>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</si>
  <si>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</si>
  <si>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</si>
  <si>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</si>
  <si>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</si>
  <si>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</si>
  <si>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</si>
  <si>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</si>
  <si>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</si>
  <si>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</si>
  <si>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</si>
  <si>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</si>
  <si>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</si>
  <si>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</si>
  <si>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</si>
  <si>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</si>
  <si>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</si>
  <si>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</si>
  <si>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</si>
  <si>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</si>
  <si>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</si>
  <si>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</si>
  <si>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</si>
  <si>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</si>
  <si>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</si>
  <si>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</si>
  <si>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</si>
  <si>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</si>
  <si>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</si>
  <si>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</si>
  <si>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</si>
  <si>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</si>
  <si>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</si>
  <si>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</si>
  <si>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</si>
  <si>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</si>
  <si>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</si>
  <si>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</si>
  <si>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</si>
  <si>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</si>
  <si>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</si>
  <si>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</si>
  <si>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</si>
  <si>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</si>
  <si>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</si>
  <si>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</si>
  <si>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</si>
  <si>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</si>
  <si>
    <t>MORAKINYO</t>
  </si>
  <si>
    <t>TESTIMONY AYANFE</t>
  </si>
  <si>
    <t>PRINARY 2</t>
  </si>
  <si>
    <t>OLADOSU</t>
  </si>
  <si>
    <t>ABDULLAHI OLUWASEYI</t>
  </si>
  <si>
    <t>AKPAN</t>
  </si>
  <si>
    <t>FRANCIS</t>
  </si>
  <si>
    <t>ONI</t>
  </si>
  <si>
    <t>AARON OLUWADEMILADE</t>
  </si>
  <si>
    <t>NIP:MOSES NOAH OLUWASEYI</t>
  </si>
  <si>
    <t>NIP:ODUNAYO IRETIOLUWA AKINDUN-ALADESAYE AFOLAHANMI VINCENT SCHOOL FE</t>
  </si>
  <si>
    <t>NIP:OLADOSU TOSIN ELIZABETH</t>
  </si>
  <si>
    <t>NIP:ABIOLA ADELEYE IGE</t>
  </si>
  <si>
    <t>NIP:MARY MOJISOLA OLUWALOGBON</t>
  </si>
  <si>
    <t>OLUWAFEMI FAMILY</t>
  </si>
  <si>
    <t>IGE FAMILY</t>
  </si>
  <si>
    <t>ALADESAYE VINCENT</t>
  </si>
  <si>
    <t>ONI AARON</t>
  </si>
  <si>
    <t>AKPAN FRANCIS</t>
  </si>
  <si>
    <t>MOSES HEPHZIBAH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</si>
</sst>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7"/>
  <sheetViews>
    <sheetView tabSelected="1" zoomScaleNormal="100" workbookViewId="0">
      <pane xSplit="4" ySplit="1" topLeftCell="P113" activePane="bottomRight" state="frozen"/>
      <selection activeCell="B16" sqref="B16"/>
      <selection pane="topRight" activeCell="B16" sqref="B16"/>
      <selection pane="bottomLeft" activeCell="B16" sqref="B16"/>
      <selection pane="bottomRight" activeCell="Q131" sqref="Q131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30000</v>
      </c>
      <c r="AB2" s="20">
        <f>Z2-AA2</f>
        <v>21180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30000</v>
      </c>
      <c r="AB3" s="20">
        <f>Z3-AA3</f>
        <v>42355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19500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44430</v>
      </c>
      <c r="AA7" s="24">
        <v>20000</v>
      </c>
      <c r="AB7" s="20">
        <f>Z7-AA7</f>
        <v>24430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20000</v>
      </c>
      <c r="AB9" s="20">
        <f>Z9-AA9</f>
        <v>24280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20000</v>
      </c>
      <c r="AB10" s="20">
        <f>Z10-AA10</f>
        <v>49290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>(1-$D11)*E11</f>
        <v>2000</v>
      </c>
      <c r="K11" s="24">
        <f>(1-$D11)*F11</f>
        <v>28000</v>
      </c>
      <c r="L11" s="24">
        <f>G11</f>
        <v>4000</v>
      </c>
      <c r="M11" s="24">
        <f>(1-$D11)*H11</f>
        <v>2500</v>
      </c>
      <c r="N11" s="24">
        <f>(1-$D11)*I11</f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119040</v>
      </c>
      <c r="AA11" s="24">
        <v>119000</v>
      </c>
      <c r="AB11" s="20">
        <f>Z11-AA11</f>
        <v>40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24750</v>
      </c>
      <c r="L12" s="24">
        <f>G12</f>
        <v>5000</v>
      </c>
      <c r="M12" s="24">
        <f>(1-$D12)*H12</f>
        <v>1500</v>
      </c>
      <c r="N12" s="24">
        <f>(1-$D12)*I12</f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>SUM(J12:Y12)</f>
        <v>78330</v>
      </c>
      <c r="AA12" s="24">
        <v>25000</v>
      </c>
      <c r="AB12" s="20">
        <f>Z12-AA12</f>
        <v>53330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>(1-$D13)*E13</f>
        <v>0</v>
      </c>
      <c r="K13" s="24">
        <f>(1-$D13)*F13</f>
        <v>30000</v>
      </c>
      <c r="L13" s="24">
        <f>G13</f>
        <v>5000</v>
      </c>
      <c r="M13" s="24">
        <f>(1-$D13)*H13</f>
        <v>1500</v>
      </c>
      <c r="N13" s="24">
        <f>(1-$D13)*I13</f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>SUM(J13:Y13)</f>
        <v>97250</v>
      </c>
      <c r="AA13" s="24">
        <v>25000</v>
      </c>
      <c r="AB13" s="20">
        <f>Z13-AA13</f>
        <v>72250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>(1-$D14)*E14</f>
        <v>0</v>
      </c>
      <c r="K14" s="24">
        <f>(1-$D14)*F14</f>
        <v>13000</v>
      </c>
      <c r="L14" s="24">
        <f>G14</f>
        <v>4000</v>
      </c>
      <c r="M14" s="24">
        <f>(1-$D14)*H14</f>
        <v>0</v>
      </c>
      <c r="N14" s="24">
        <f>(1-$D14)*I14</f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>SUM(J14:Y14)</f>
        <v>52660</v>
      </c>
      <c r="AA14" s="24">
        <v>0</v>
      </c>
      <c r="AB14" s="20">
        <f>Z14-AA14</f>
        <v>52660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>(1-$D15)*E15</f>
        <v>0</v>
      </c>
      <c r="K15" s="24">
        <f>(1-$D15)*F15</f>
        <v>14000</v>
      </c>
      <c r="L15" s="24">
        <f>G15</f>
        <v>4000</v>
      </c>
      <c r="M15" s="24">
        <f>(1-$D15)*H15</f>
        <v>0</v>
      </c>
      <c r="N15" s="24">
        <f>(1-$D15)*I15</f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>SUM(J15:Y15)</f>
        <v>60510</v>
      </c>
      <c r="AA15" s="24">
        <v>0</v>
      </c>
      <c r="AB15" s="20">
        <f>Z15-AA15</f>
        <v>60510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>(1-$D16)*E16</f>
        <v>0</v>
      </c>
      <c r="K16" s="24">
        <f>(1-$D16)*F16</f>
        <v>24700</v>
      </c>
      <c r="L16" s="24">
        <f>G16</f>
        <v>4000</v>
      </c>
      <c r="M16" s="24">
        <f>(1-$D16)*H16</f>
        <v>950</v>
      </c>
      <c r="N16" s="24">
        <f>(1-$D16)*I16</f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>SUM(J16:Y16)</f>
        <v>40790</v>
      </c>
      <c r="AA16" s="24">
        <v>42140</v>
      </c>
      <c r="AB16" s="20">
        <f>Z16-AA16</f>
        <v>-1350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>(1-$D17)*E17</f>
        <v>0</v>
      </c>
      <c r="K17" s="24">
        <f>(1-$D17)*F17</f>
        <v>19500</v>
      </c>
      <c r="L17" s="24">
        <f>G17</f>
        <v>4000</v>
      </c>
      <c r="M17" s="24">
        <f>(1-$D17)*H17</f>
        <v>0</v>
      </c>
      <c r="N17" s="24">
        <f>(1-$D17)*I17</f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59160</v>
      </c>
      <c r="AA17" s="24">
        <v>40000</v>
      </c>
      <c r="AB17" s="20">
        <f>Z17-AA17</f>
        <v>19160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>(1-$D18)*E18</f>
        <v>0</v>
      </c>
      <c r="K18" s="24">
        <f>(1-$D18)*F18</f>
        <v>21000</v>
      </c>
      <c r="L18" s="24">
        <f>G18</f>
        <v>4000</v>
      </c>
      <c r="M18" s="24">
        <f>(1-$D18)*H18</f>
        <v>0</v>
      </c>
      <c r="N18" s="24">
        <f>(1-$D18)*I18</f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66800</v>
      </c>
      <c r="AA18" s="24">
        <v>40000</v>
      </c>
      <c r="AB18" s="20">
        <f>Z18-AA18</f>
        <v>26800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>(1-$D19)*E19</f>
        <v>3000</v>
      </c>
      <c r="K19" s="24">
        <f>(1-$D19)*F19</f>
        <v>40000</v>
      </c>
      <c r="L19" s="24">
        <f>G19</f>
        <v>5000</v>
      </c>
      <c r="M19" s="24">
        <f>(1-$D19)*H19</f>
        <v>2000</v>
      </c>
      <c r="N19" s="24">
        <f>(1-$D19)*I19</f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120210</v>
      </c>
      <c r="AA19" s="24">
        <v>120210</v>
      </c>
      <c r="AB19" s="20">
        <f>Z19-AA19</f>
        <v>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>(1-$D20)*E20</f>
        <v>0</v>
      </c>
      <c r="K20" s="24">
        <f>(1-$D20)*F20</f>
        <v>18200</v>
      </c>
      <c r="L20" s="24">
        <f>G20</f>
        <v>4000</v>
      </c>
      <c r="M20" s="24">
        <f>(1-$D20)*H20</f>
        <v>700</v>
      </c>
      <c r="N20" s="24">
        <f>(1-$D20)*I20</f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42930</v>
      </c>
      <c r="AA20" s="24">
        <v>42930</v>
      </c>
      <c r="AB20" s="20">
        <f>Z20-AA20</f>
        <v>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>(1-$D21)*E21</f>
        <v>0</v>
      </c>
      <c r="K21" s="24">
        <f>(1-$D21)*F21</f>
        <v>19600</v>
      </c>
      <c r="L21" s="24">
        <f>G21</f>
        <v>4000</v>
      </c>
      <c r="M21" s="24">
        <f>(1-$D21)*H21</f>
        <v>1750</v>
      </c>
      <c r="N21" s="24">
        <f>(1-$D21)*I21</f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72150</v>
      </c>
      <c r="AA21" s="24">
        <v>72150</v>
      </c>
      <c r="AB21" s="20">
        <f>Z21-AA21</f>
        <v>0</v>
      </c>
      <c r="AC21" s="24">
        <f>IF(AND($T21=6000, ($T21+$W21-$AB21)&gt;=6000),T21,"")</f>
        <v>6000</v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>(1-$D22)*E22</f>
        <v>0</v>
      </c>
      <c r="K22" s="24">
        <f>(1-$D22)*F22</f>
        <v>21000</v>
      </c>
      <c r="L22" s="24">
        <f>G22</f>
        <v>4000</v>
      </c>
      <c r="M22" s="24">
        <f>(1-$D22)*H22</f>
        <v>0</v>
      </c>
      <c r="N22" s="24">
        <f>(1-$D22)*I22</f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76770</v>
      </c>
      <c r="AA22" s="24">
        <v>37535</v>
      </c>
      <c r="AB22" s="20">
        <f>Z22-AA22</f>
        <v>39235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>(1-$D23)*E23</f>
        <v>0</v>
      </c>
      <c r="K23" s="24">
        <f>(1-$D23)*F23</f>
        <v>16500</v>
      </c>
      <c r="L23" s="24">
        <f>G23</f>
        <v>5000</v>
      </c>
      <c r="M23" s="24">
        <f>(1-$D23)*H23</f>
        <v>1000</v>
      </c>
      <c r="N23" s="24">
        <f>(1-$D23)*I23</f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62230</v>
      </c>
      <c r="AA23" s="24">
        <v>0</v>
      </c>
      <c r="AB23" s="20">
        <f>Z23-AA23</f>
        <v>62230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>(1-$D24)*E24</f>
        <v>0</v>
      </c>
      <c r="K24" s="24">
        <f>(1-$D24)*F24</f>
        <v>23100</v>
      </c>
      <c r="L24" s="24">
        <f>G24</f>
        <v>5000</v>
      </c>
      <c r="M24" s="24">
        <f>(1-$D24)*H24</f>
        <v>1400</v>
      </c>
      <c r="N24" s="24">
        <f>(1-$D24)*I24</f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67530</v>
      </c>
      <c r="AA24" s="24">
        <v>0</v>
      </c>
      <c r="AB24" s="20">
        <f>Z24-AA24</f>
        <v>67530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>(1-$D25)*E25</f>
        <v>0</v>
      </c>
      <c r="K25" s="24">
        <f>(1-$D25)*F25</f>
        <v>21000</v>
      </c>
      <c r="L25" s="24">
        <f>G25</f>
        <v>4000</v>
      </c>
      <c r="M25" s="24">
        <f>(1-$D25)*H25</f>
        <v>0</v>
      </c>
      <c r="N25" s="24">
        <f>(1-$D25)*I25</f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66230</v>
      </c>
      <c r="AA25" s="24">
        <v>0</v>
      </c>
      <c r="AB25" s="20">
        <f>Z25-AA25</f>
        <v>66230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>(1-$D26)*E26</f>
        <v>0</v>
      </c>
      <c r="K26" s="24">
        <f>(1-$D26)*F26</f>
        <v>21000</v>
      </c>
      <c r="L26" s="24">
        <f>G26</f>
        <v>4000</v>
      </c>
      <c r="M26" s="24">
        <f>(1-$D26)*H26</f>
        <v>0</v>
      </c>
      <c r="N26" s="24">
        <f>(1-$D26)*I26</f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66230</v>
      </c>
      <c r="AA26" s="24">
        <v>0</v>
      </c>
      <c r="AB26" s="20">
        <f>Z26-AA26</f>
        <v>66230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>(1-$D27)*E27</f>
        <v>0</v>
      </c>
      <c r="K27" s="24">
        <f>(1-$D27)*F27</f>
        <v>33000</v>
      </c>
      <c r="L27" s="24">
        <f>G27</f>
        <v>5000</v>
      </c>
      <c r="M27" s="24">
        <f>(1-$D27)*H27</f>
        <v>2000</v>
      </c>
      <c r="N27" s="24">
        <f>(1-$D27)*I27</f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>SUM(J27:Y27)</f>
        <v>79830</v>
      </c>
      <c r="AA27" s="24">
        <v>60000</v>
      </c>
      <c r="AB27" s="20">
        <f>Z27-AA27</f>
        <v>19830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>(1-$D28)*E28</f>
        <v>0</v>
      </c>
      <c r="K28" s="24">
        <f>(1-$D28)*F28</f>
        <v>14849.999999999998</v>
      </c>
      <c r="L28" s="24">
        <f>G28</f>
        <v>5000</v>
      </c>
      <c r="M28" s="24">
        <f>(1-$D28)*H28</f>
        <v>899.99999999999989</v>
      </c>
      <c r="N28" s="24">
        <f>(1-$D28)*I28</f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60180</v>
      </c>
      <c r="AA28" s="24">
        <v>62230</v>
      </c>
      <c r="AB28" s="20">
        <f>Z28-AA28</f>
        <v>-2050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6000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>SUM(J29:Y29)</f>
        <v>56630</v>
      </c>
      <c r="AA29" s="24">
        <v>0</v>
      </c>
      <c r="AB29" s="20">
        <f>Z29-AA29</f>
        <v>56630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>(1-$D30)*E30</f>
        <v>0</v>
      </c>
      <c r="K30" s="24">
        <f>(1-$D30)*F30</f>
        <v>26000</v>
      </c>
      <c r="L30" s="24">
        <f>G30</f>
        <v>4000</v>
      </c>
      <c r="M30" s="24">
        <f>(1-$D30)*H30</f>
        <v>1000</v>
      </c>
      <c r="N30" s="24">
        <f>(1-$D30)*I30</f>
        <v>0</v>
      </c>
      <c r="O30" s="24">
        <v>6840</v>
      </c>
      <c r="P30" s="24">
        <v>5300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43140</v>
      </c>
      <c r="AA30" s="24">
        <v>43140</v>
      </c>
      <c r="AB30" s="20">
        <f>Z30-AA30</f>
        <v>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>SUM(J31:Y31)</f>
        <v>62030</v>
      </c>
      <c r="AA31" s="24">
        <v>0</v>
      </c>
      <c r="AB31" s="20">
        <f>Z31-AA31</f>
        <v>62030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>(1-$D32)*E32</f>
        <v>0</v>
      </c>
      <c r="K32" s="24">
        <f>(1-$D32)*F32</f>
        <v>40000</v>
      </c>
      <c r="L32" s="24">
        <f>G32</f>
        <v>5000</v>
      </c>
      <c r="M32" s="24">
        <f>(1-$D32)*H32</f>
        <v>2000</v>
      </c>
      <c r="N32" s="24">
        <f>(1-$D32)*I32</f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81210</v>
      </c>
      <c r="AA32" s="24">
        <v>40000</v>
      </c>
      <c r="AB32" s="20">
        <f>Z32-AA32</f>
        <v>41210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>(1-$D33)*E33</f>
        <v>0</v>
      </c>
      <c r="K33" s="24">
        <f>(1-$D33)*F33</f>
        <v>24700</v>
      </c>
      <c r="L33" s="24">
        <f>G33</f>
        <v>4000</v>
      </c>
      <c r="M33" s="24">
        <f>(1-$D33)*H33</f>
        <v>950</v>
      </c>
      <c r="N33" s="24">
        <f>(1-$D33)*I33</f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41790</v>
      </c>
      <c r="AA33" s="24">
        <v>43140</v>
      </c>
      <c r="AB33" s="20">
        <f>Z33-AA33</f>
        <v>-1350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>(1-$D34)*E34</f>
        <v>3000</v>
      </c>
      <c r="K34" s="24">
        <f>(1-$D34)*F34</f>
        <v>33000</v>
      </c>
      <c r="L34" s="24">
        <f>G34</f>
        <v>5000</v>
      </c>
      <c r="M34" s="24">
        <f>(1-$D34)*H34</f>
        <v>2000</v>
      </c>
      <c r="N34" s="24">
        <f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112510</v>
      </c>
      <c r="AA34" s="24">
        <v>60000</v>
      </c>
      <c r="AB34" s="20">
        <f>Z34-AA34</f>
        <v>52510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>(1-$D35)*E35</f>
        <v>0</v>
      </c>
      <c r="K35" s="24">
        <f>(1-$D35)*F35</f>
        <v>19500</v>
      </c>
      <c r="L35" s="24">
        <f>G35</f>
        <v>2000</v>
      </c>
      <c r="M35" s="24">
        <f>(1-$D35)*H35</f>
        <v>0</v>
      </c>
      <c r="N35" s="24">
        <f>(1-$D35)*I35</f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24550</v>
      </c>
      <c r="AA35" s="24">
        <v>1300</v>
      </c>
      <c r="AB35" s="20">
        <f>Z35-AA35</f>
        <v>23250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18200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49130</v>
      </c>
      <c r="AA36" s="24">
        <v>49130</v>
      </c>
      <c r="AB36" s="20">
        <f>Z36-AA36</f>
        <v>0</v>
      </c>
      <c r="AC36" s="24">
        <f>IF(AND($T36=6000, ($T36+$W36-$AB36)&gt;=6000),T36,"")</f>
        <v>6000</v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19500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65160</v>
      </c>
      <c r="AA37" s="24">
        <v>0</v>
      </c>
      <c r="AB37" s="20">
        <f>Z37-AA37</f>
        <v>65160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>(1-$D38)*E38</f>
        <v>0</v>
      </c>
      <c r="K38" s="24">
        <f>(1-$D38)*F38</f>
        <v>21000</v>
      </c>
      <c r="L38" s="24">
        <f>G38</f>
        <v>4000</v>
      </c>
      <c r="M38" s="24">
        <f>(1-$D38)*H38</f>
        <v>0</v>
      </c>
      <c r="N38" s="24">
        <f>(1-$D38)*I38</f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>SUM(J38:Y38)</f>
        <v>72480</v>
      </c>
      <c r="AA38" s="24">
        <v>0</v>
      </c>
      <c r="AB38" s="20">
        <f>Z38-AA38</f>
        <v>72480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43140</v>
      </c>
      <c r="AB39" s="20">
        <f>Z39-AA39</f>
        <v>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56930</v>
      </c>
      <c r="AA40" s="24">
        <v>0</v>
      </c>
      <c r="AB40" s="20">
        <f>Z40-AA40</f>
        <v>56930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">
        <v>325</v>
      </c>
    </row>
    <row r="41" spans="1:32" x14ac:dyDescent="0.25">
      <c r="A41" s="22" t="s">
        <v>390</v>
      </c>
      <c r="B41" s="22" t="s">
        <v>391</v>
      </c>
      <c r="C41" s="22" t="s">
        <v>44</v>
      </c>
      <c r="D41" s="23">
        <v>0</v>
      </c>
      <c r="E41" s="24">
        <v>2000</v>
      </c>
      <c r="F41" s="24">
        <v>26000</v>
      </c>
      <c r="G41" s="24">
        <v>4000</v>
      </c>
      <c r="H41" s="24">
        <v>1000</v>
      </c>
      <c r="I41" s="24">
        <v>0</v>
      </c>
      <c r="J41" s="24">
        <f>(1-$D41)*E41</f>
        <v>2000</v>
      </c>
      <c r="K41" s="24">
        <f>(1-$D41)*F41</f>
        <v>26000</v>
      </c>
      <c r="L41" s="24">
        <f>G41</f>
        <v>4000</v>
      </c>
      <c r="M41" s="24">
        <f>(1-$D41)*H41</f>
        <v>1000</v>
      </c>
      <c r="N41" s="24">
        <f>(1-$D41)*I41</f>
        <v>0</v>
      </c>
      <c r="O41" s="24">
        <v>13380</v>
      </c>
      <c r="P41" s="24">
        <v>7550</v>
      </c>
      <c r="Q41" s="24">
        <v>16000</v>
      </c>
      <c r="R41" s="24">
        <v>8000</v>
      </c>
      <c r="S41" s="24">
        <v>7000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84930</v>
      </c>
      <c r="AA41" s="24">
        <v>50000</v>
      </c>
      <c r="AB41" s="20">
        <f>Z41-AA41</f>
        <v>34930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4"/>
    </row>
    <row r="42" spans="1:32" x14ac:dyDescent="0.25">
      <c r="A42" s="22" t="s">
        <v>241</v>
      </c>
      <c r="B42" s="22" t="s">
        <v>50</v>
      </c>
      <c r="C42" s="22" t="s">
        <v>252</v>
      </c>
      <c r="D42" s="23">
        <v>0</v>
      </c>
      <c r="E42" s="24">
        <v>0</v>
      </c>
      <c r="F42" s="24">
        <v>26000</v>
      </c>
      <c r="G42" s="24">
        <v>2000</v>
      </c>
      <c r="H42" s="24">
        <v>0</v>
      </c>
      <c r="I42" s="24">
        <v>0</v>
      </c>
      <c r="J42" s="24">
        <f>(1-$D42)*E42</f>
        <v>0</v>
      </c>
      <c r="K42" s="24">
        <f>(1-$D42)*F42</f>
        <v>26000</v>
      </c>
      <c r="L42" s="24">
        <f>G42</f>
        <v>2000</v>
      </c>
      <c r="M42" s="24">
        <f>(1-$D42)*H42</f>
        <v>0</v>
      </c>
      <c r="N42" s="24">
        <f>(1-$D42)*I42</f>
        <v>0</v>
      </c>
      <c r="O42" s="24">
        <v>0</v>
      </c>
      <c r="P42" s="24">
        <v>3050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31050</v>
      </c>
      <c r="AA42" s="24">
        <v>0</v>
      </c>
      <c r="AB42" s="20">
        <f>Z42-AA42</f>
        <v>31050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">
        <v>325</v>
      </c>
    </row>
    <row r="43" spans="1:32" x14ac:dyDescent="0.25">
      <c r="A43" s="22" t="s">
        <v>173</v>
      </c>
      <c r="B43" s="22" t="s">
        <v>174</v>
      </c>
      <c r="C43" s="22" t="s">
        <v>49</v>
      </c>
      <c r="D43" s="23">
        <v>0</v>
      </c>
      <c r="E43" s="24">
        <v>0</v>
      </c>
      <c r="F43" s="24">
        <v>26000</v>
      </c>
      <c r="G43" s="24">
        <v>4000</v>
      </c>
      <c r="H43" s="24">
        <v>1000</v>
      </c>
      <c r="I43" s="24">
        <v>0</v>
      </c>
      <c r="J43" s="24">
        <f>(1-$D43)*E43</f>
        <v>0</v>
      </c>
      <c r="K43" s="24">
        <f>(1-$D43)*F43</f>
        <v>26000</v>
      </c>
      <c r="L43" s="24">
        <f>G43</f>
        <v>4000</v>
      </c>
      <c r="M43" s="24">
        <f>(1-$D43)*H43</f>
        <v>1000</v>
      </c>
      <c r="N43" s="24">
        <f>(1-$D43)*I43</f>
        <v>0</v>
      </c>
      <c r="O43" s="24">
        <v>6840</v>
      </c>
      <c r="P43" s="24">
        <v>5300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>SUM(J43:Y43)</f>
        <v>43140</v>
      </c>
      <c r="AA43" s="24">
        <v>30000</v>
      </c>
      <c r="AB43" s="20">
        <f>Z43-AA43</f>
        <v>13140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">
        <v>325</v>
      </c>
    </row>
    <row r="44" spans="1:32" x14ac:dyDescent="0.25">
      <c r="A44" s="22" t="s">
        <v>65</v>
      </c>
      <c r="B44" s="22" t="s">
        <v>66</v>
      </c>
      <c r="C44" s="22" t="s">
        <v>67</v>
      </c>
      <c r="D44" s="23">
        <v>0.5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16500</v>
      </c>
      <c r="L44" s="24">
        <f>G44</f>
        <v>5000</v>
      </c>
      <c r="M44" s="24">
        <f>(1-$D44)*H44</f>
        <v>1000</v>
      </c>
      <c r="N44" s="24">
        <f>(1-$D44)*I44</f>
        <v>3000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8000</v>
      </c>
      <c r="U44" s="24">
        <v>0</v>
      </c>
      <c r="V44" s="24">
        <v>0</v>
      </c>
      <c r="W44" s="24">
        <v>0</v>
      </c>
      <c r="X44" s="24">
        <v>0</v>
      </c>
      <c r="Y44" s="24">
        <v>-30</v>
      </c>
      <c r="Z44" s="24">
        <f>SUM(J44:Y44)</f>
        <v>70200</v>
      </c>
      <c r="AA44" s="24">
        <v>0</v>
      </c>
      <c r="AB44" s="20">
        <f>Z44-AA44</f>
        <v>70200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">
        <v>325</v>
      </c>
    </row>
    <row r="45" spans="1:32" x14ac:dyDescent="0.25">
      <c r="A45" s="22" t="s">
        <v>68</v>
      </c>
      <c r="B45" s="22" t="s">
        <v>69</v>
      </c>
      <c r="C45" s="22" t="s">
        <v>67</v>
      </c>
      <c r="D45" s="23">
        <v>0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>(1-$D45)*E45</f>
        <v>0</v>
      </c>
      <c r="K45" s="24">
        <f>(1-$D45)*F45</f>
        <v>33000</v>
      </c>
      <c r="L45" s="24">
        <f>G45</f>
        <v>5000</v>
      </c>
      <c r="M45" s="24">
        <f>(1-$D45)*H45</f>
        <v>2000</v>
      </c>
      <c r="N45" s="24">
        <f>(1-$D45)*I45</f>
        <v>6000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-8970</v>
      </c>
      <c r="Z45" s="24">
        <f>SUM(J45:Y45)</f>
        <v>73760</v>
      </c>
      <c r="AA45" s="24">
        <v>0</v>
      </c>
      <c r="AB45" s="20">
        <f>Z45-AA45</f>
        <v>73760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">
        <v>325</v>
      </c>
    </row>
    <row r="46" spans="1:32" x14ac:dyDescent="0.25">
      <c r="A46" s="22" t="s">
        <v>71</v>
      </c>
      <c r="B46" s="22" t="s">
        <v>72</v>
      </c>
      <c r="C46" s="22" t="s">
        <v>70</v>
      </c>
      <c r="D46" s="23">
        <v>0</v>
      </c>
      <c r="E46" s="24">
        <v>0</v>
      </c>
      <c r="F46" s="24">
        <v>40000</v>
      </c>
      <c r="G46" s="24">
        <v>5000</v>
      </c>
      <c r="H46" s="24">
        <v>2000</v>
      </c>
      <c r="I46" s="24">
        <v>8000</v>
      </c>
      <c r="J46" s="24">
        <f>(1-$D46)*E46</f>
        <v>0</v>
      </c>
      <c r="K46" s="24">
        <f>(1-$D46)*F46</f>
        <v>40000</v>
      </c>
      <c r="L46" s="24">
        <f>G46</f>
        <v>5000</v>
      </c>
      <c r="M46" s="24">
        <f>(1-$D46)*H46</f>
        <v>2000</v>
      </c>
      <c r="N46" s="24">
        <f>(1-$D46)*I46</f>
        <v>8000</v>
      </c>
      <c r="O46" s="24">
        <v>11880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120</v>
      </c>
      <c r="Z46" s="24">
        <f>SUM(J46:Y46)</f>
        <v>81330</v>
      </c>
      <c r="AA46" s="24">
        <v>50000</v>
      </c>
      <c r="AB46" s="20">
        <f>Z46-AA46</f>
        <v>31330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">
        <v>325</v>
      </c>
    </row>
    <row r="47" spans="1:32" x14ac:dyDescent="0.25">
      <c r="A47" s="22" t="s">
        <v>74</v>
      </c>
      <c r="B47" s="22" t="s">
        <v>75</v>
      </c>
      <c r="C47" s="22" t="s">
        <v>67</v>
      </c>
      <c r="D47" s="23">
        <v>0.5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>(1-$D47)*E47</f>
        <v>0</v>
      </c>
      <c r="K47" s="24">
        <f>(1-$D47)*F47</f>
        <v>16500</v>
      </c>
      <c r="L47" s="24">
        <f>G47</f>
        <v>5000</v>
      </c>
      <c r="M47" s="24">
        <f>(1-$D47)*H47</f>
        <v>1000</v>
      </c>
      <c r="N47" s="24">
        <f>(1-$D47)*I47</f>
        <v>3000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480</v>
      </c>
      <c r="Z47" s="24">
        <f>SUM(J47:Y47)</f>
        <v>62710</v>
      </c>
      <c r="AA47" s="24">
        <v>0</v>
      </c>
      <c r="AB47" s="20">
        <f>Z47-AA47</f>
        <v>62710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">
        <v>325</v>
      </c>
    </row>
    <row r="48" spans="1:32" x14ac:dyDescent="0.25">
      <c r="A48" s="22" t="s">
        <v>191</v>
      </c>
      <c r="B48" s="22" t="s">
        <v>199</v>
      </c>
      <c r="C48" s="22" t="s">
        <v>67</v>
      </c>
      <c r="D48" s="23">
        <v>0.25</v>
      </c>
      <c r="E48" s="24">
        <v>0</v>
      </c>
      <c r="F48" s="24">
        <v>33000</v>
      </c>
      <c r="G48" s="24">
        <v>5000</v>
      </c>
      <c r="H48" s="24">
        <v>2000</v>
      </c>
      <c r="I48" s="24">
        <v>6000</v>
      </c>
      <c r="J48" s="24">
        <f>(1-$D48)*E48</f>
        <v>0</v>
      </c>
      <c r="K48" s="24">
        <f>(1-$D48)*F48</f>
        <v>24750</v>
      </c>
      <c r="L48" s="24">
        <f>G48</f>
        <v>5000</v>
      </c>
      <c r="M48" s="24">
        <f>(1-$D48)*H48</f>
        <v>1500</v>
      </c>
      <c r="N48" s="24">
        <f>(1-$D48)*I48</f>
        <v>4500</v>
      </c>
      <c r="O48" s="24">
        <v>22400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72480</v>
      </c>
      <c r="AA48" s="24">
        <v>0</v>
      </c>
      <c r="AB48" s="20">
        <f>Z48-AA48</f>
        <v>72480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">
        <v>325</v>
      </c>
    </row>
    <row r="49" spans="1:32" x14ac:dyDescent="0.25">
      <c r="A49" s="22" t="s">
        <v>191</v>
      </c>
      <c r="B49" s="22" t="s">
        <v>192</v>
      </c>
      <c r="C49" s="22" t="s">
        <v>70</v>
      </c>
      <c r="D49" s="23">
        <v>0.25</v>
      </c>
      <c r="E49" s="24">
        <v>0</v>
      </c>
      <c r="F49" s="24">
        <v>40000</v>
      </c>
      <c r="G49" s="24">
        <v>5000</v>
      </c>
      <c r="H49" s="24">
        <v>2000</v>
      </c>
      <c r="I49" s="24">
        <v>8000</v>
      </c>
      <c r="J49" s="24">
        <f>(1-$D49)*E49</f>
        <v>0</v>
      </c>
      <c r="K49" s="24">
        <f>(1-$D49)*F49</f>
        <v>30000</v>
      </c>
      <c r="L49" s="24">
        <f>G49</f>
        <v>5000</v>
      </c>
      <c r="M49" s="24">
        <f>(1-$D49)*H49</f>
        <v>1500</v>
      </c>
      <c r="N49" s="24">
        <f>(1-$D49)*I49</f>
        <v>6000</v>
      </c>
      <c r="O49" s="24">
        <v>11880</v>
      </c>
      <c r="P49" s="24">
        <v>14330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68710</v>
      </c>
      <c r="AA49" s="24">
        <v>0</v>
      </c>
      <c r="AB49" s="20">
        <f>Z49-AA49</f>
        <v>68710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">
        <v>325</v>
      </c>
    </row>
    <row r="50" spans="1:32" x14ac:dyDescent="0.25">
      <c r="A50" s="22" t="s">
        <v>243</v>
      </c>
      <c r="B50" s="22" t="s">
        <v>244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>(1-$D50)*E50</f>
        <v>0</v>
      </c>
      <c r="K50" s="24">
        <f>(1-$D50)*F50</f>
        <v>26000</v>
      </c>
      <c r="L50" s="24">
        <f>G50</f>
        <v>4000</v>
      </c>
      <c r="M50" s="24">
        <f>(1-$D50)*H50</f>
        <v>1000</v>
      </c>
      <c r="N50" s="24">
        <f>(1-$D50)*I50</f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f>SUM(J50:Y50)</f>
        <v>43140</v>
      </c>
      <c r="AA50" s="24">
        <v>0</v>
      </c>
      <c r="AB50" s="20">
        <f>Z50-AA50</f>
        <v>43140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">
        <v>325</v>
      </c>
    </row>
    <row r="51" spans="1:32" x14ac:dyDescent="0.25">
      <c r="A51" s="22" t="s">
        <v>64</v>
      </c>
      <c r="B51" s="22" t="s">
        <v>76</v>
      </c>
      <c r="C51" s="22" t="s">
        <v>47</v>
      </c>
      <c r="D51" s="23">
        <v>0.25</v>
      </c>
      <c r="E51" s="24">
        <v>0</v>
      </c>
      <c r="F51" s="24">
        <v>26000</v>
      </c>
      <c r="G51" s="24">
        <v>4000</v>
      </c>
      <c r="H51" s="24">
        <v>0</v>
      </c>
      <c r="I51" s="24">
        <v>0</v>
      </c>
      <c r="J51" s="24">
        <f>(1-$D51)*E51</f>
        <v>0</v>
      </c>
      <c r="K51" s="24">
        <f>(1-$D51)*F51</f>
        <v>19500</v>
      </c>
      <c r="L51" s="24">
        <f>G51</f>
        <v>4000</v>
      </c>
      <c r="M51" s="24">
        <f>(1-$D51)*H51</f>
        <v>0</v>
      </c>
      <c r="N51" s="24">
        <f>(1-$D51)*I51</f>
        <v>0</v>
      </c>
      <c r="O51" s="24">
        <v>24930</v>
      </c>
      <c r="P51" s="24">
        <v>10730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18500</v>
      </c>
      <c r="Z51" s="24">
        <f>SUM(J51:Y51)</f>
        <v>83660</v>
      </c>
      <c r="AA51" s="24">
        <v>83180</v>
      </c>
      <c r="AB51" s="20">
        <f>Z51-AA51</f>
        <v>480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">
        <v>325</v>
      </c>
    </row>
    <row r="52" spans="1:32" x14ac:dyDescent="0.25">
      <c r="A52" s="22" t="s">
        <v>64</v>
      </c>
      <c r="B52" s="22" t="s">
        <v>77</v>
      </c>
      <c r="C52" s="22" t="s">
        <v>248</v>
      </c>
      <c r="D52" s="23">
        <v>0.05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>(1-$D52)*E52</f>
        <v>0</v>
      </c>
      <c r="K52" s="24">
        <f>(1-$D52)*F52</f>
        <v>26600</v>
      </c>
      <c r="L52" s="24">
        <f>G52</f>
        <v>4000</v>
      </c>
      <c r="M52" s="24">
        <f>(1-$D52)*H52</f>
        <v>0</v>
      </c>
      <c r="N52" s="24">
        <f>(1-$D52)*I52</f>
        <v>4750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77370</v>
      </c>
      <c r="AA52" s="24">
        <v>79020</v>
      </c>
      <c r="AB52" s="20">
        <f>Z52-AA52</f>
        <v>-1650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">
        <v>326</v>
      </c>
    </row>
    <row r="53" spans="1:32" x14ac:dyDescent="0.25">
      <c r="A53" s="22" t="s">
        <v>78</v>
      </c>
      <c r="B53" s="22" t="s">
        <v>79</v>
      </c>
      <c r="C53" s="22" t="s">
        <v>33</v>
      </c>
      <c r="D53" s="23">
        <v>0</v>
      </c>
      <c r="E53" s="24">
        <v>0</v>
      </c>
      <c r="F53" s="24">
        <v>28000</v>
      </c>
      <c r="G53" s="24">
        <v>4000</v>
      </c>
      <c r="H53" s="24">
        <v>2500</v>
      </c>
      <c r="I53" s="24">
        <v>5000</v>
      </c>
      <c r="J53" s="24">
        <f>(1-$D53)*E53</f>
        <v>0</v>
      </c>
      <c r="K53" s="24">
        <f>(1-$D53)*F53</f>
        <v>28000</v>
      </c>
      <c r="L53" s="24">
        <f>G53</f>
        <v>4000</v>
      </c>
      <c r="M53" s="24">
        <f>(1-$D53)*H53</f>
        <v>2500</v>
      </c>
      <c r="N53" s="24">
        <f>(1-$D53)*I53</f>
        <v>5000</v>
      </c>
      <c r="O53" s="24">
        <v>25970</v>
      </c>
      <c r="P53" s="24">
        <v>11330</v>
      </c>
      <c r="Q53" s="24">
        <v>0</v>
      </c>
      <c r="R53" s="24">
        <v>0</v>
      </c>
      <c r="S53" s="24">
        <v>0</v>
      </c>
      <c r="T53" s="24">
        <v>6000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82800</v>
      </c>
      <c r="AA53" s="24">
        <v>82350</v>
      </c>
      <c r="AB53" s="20">
        <f>Z53-AA53</f>
        <v>450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">
        <v>325</v>
      </c>
    </row>
    <row r="54" spans="1:32" x14ac:dyDescent="0.25">
      <c r="A54" s="22" t="s">
        <v>355</v>
      </c>
      <c r="B54" s="22" t="s">
        <v>357</v>
      </c>
      <c r="C54" s="22" t="s">
        <v>44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1500</v>
      </c>
      <c r="K54" s="24">
        <f>(1-$D54)*F54</f>
        <v>19500</v>
      </c>
      <c r="L54" s="24">
        <f>G54</f>
        <v>4000</v>
      </c>
      <c r="M54" s="24">
        <f>(1-$D54)*H54</f>
        <v>750</v>
      </c>
      <c r="N54" s="24">
        <f>(1-$D54)*I54</f>
        <v>0</v>
      </c>
      <c r="O54" s="24">
        <v>13380</v>
      </c>
      <c r="P54" s="24">
        <v>7550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77680</v>
      </c>
      <c r="AA54" s="24">
        <v>0</v>
      </c>
      <c r="AB54" s="20">
        <f>Z54-AA54</f>
        <v>77680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4"/>
    </row>
    <row r="55" spans="1:32" x14ac:dyDescent="0.25">
      <c r="A55" s="22" t="s">
        <v>355</v>
      </c>
      <c r="B55" s="22" t="s">
        <v>356</v>
      </c>
      <c r="C55" s="22" t="s">
        <v>49</v>
      </c>
      <c r="D55" s="23">
        <v>0.25</v>
      </c>
      <c r="E55" s="24">
        <v>2000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1500</v>
      </c>
      <c r="K55" s="24">
        <f>(1-$D55)*F55</f>
        <v>19500</v>
      </c>
      <c r="L55" s="24">
        <f>G55</f>
        <v>4000</v>
      </c>
      <c r="M55" s="24">
        <f>(1-$D55)*H55</f>
        <v>750</v>
      </c>
      <c r="N55" s="24">
        <f>(1-$D55)*I55</f>
        <v>0</v>
      </c>
      <c r="O55" s="24">
        <v>6840</v>
      </c>
      <c r="P55" s="24">
        <v>5300</v>
      </c>
      <c r="Q55" s="24">
        <v>16000</v>
      </c>
      <c r="R55" s="24">
        <v>8000</v>
      </c>
      <c r="S55" s="24">
        <v>7000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68890</v>
      </c>
      <c r="AA55" s="24">
        <v>0</v>
      </c>
      <c r="AB55" s="20">
        <f>Z55-AA55</f>
        <v>68890</v>
      </c>
      <c r="AC55" s="24"/>
      <c r="AD55" s="24"/>
      <c r="AE55" s="24"/>
      <c r="AF55" s="24"/>
    </row>
    <row r="56" spans="1:32" x14ac:dyDescent="0.25">
      <c r="A56" s="22" t="s">
        <v>55</v>
      </c>
      <c r="B56" s="22" t="s">
        <v>80</v>
      </c>
      <c r="C56" s="22" t="s">
        <v>67</v>
      </c>
      <c r="D56" s="23">
        <v>0.5</v>
      </c>
      <c r="E56" s="24">
        <v>0</v>
      </c>
      <c r="F56" s="24">
        <v>33000</v>
      </c>
      <c r="G56" s="24">
        <v>5000</v>
      </c>
      <c r="H56" s="24">
        <v>2000</v>
      </c>
      <c r="I56" s="24">
        <v>6000</v>
      </c>
      <c r="J56" s="24">
        <f>(1-$D56)*E56</f>
        <v>0</v>
      </c>
      <c r="K56" s="24">
        <f>(1-$D56)*F56</f>
        <v>16500</v>
      </c>
      <c r="L56" s="24">
        <f>G56</f>
        <v>5000</v>
      </c>
      <c r="M56" s="24">
        <f>(1-$D56)*H56</f>
        <v>1000</v>
      </c>
      <c r="N56" s="24">
        <f>(1-$D56)*I56</f>
        <v>3000</v>
      </c>
      <c r="O56" s="24">
        <v>22400</v>
      </c>
      <c r="P56" s="24">
        <v>14330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500</v>
      </c>
      <c r="Z56" s="24">
        <f>SUM(J56:Y56)</f>
        <v>62730</v>
      </c>
      <c r="AA56" s="24">
        <v>0</v>
      </c>
      <c r="AB56" s="20">
        <f>Z56-AA56</f>
        <v>62730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">
        <v>325</v>
      </c>
    </row>
    <row r="57" spans="1:32" x14ac:dyDescent="0.25">
      <c r="A57" s="22" t="s">
        <v>224</v>
      </c>
      <c r="B57" s="22" t="s">
        <v>226</v>
      </c>
      <c r="C57" s="22" t="s">
        <v>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>(1-$D57)*E57</f>
        <v>0</v>
      </c>
      <c r="K57" s="24">
        <f>(1-$D57)*F57</f>
        <v>21000</v>
      </c>
      <c r="L57" s="24">
        <f>G57</f>
        <v>4000</v>
      </c>
      <c r="M57" s="24">
        <f>(1-$D57)*H57</f>
        <v>0</v>
      </c>
      <c r="N57" s="24">
        <f>(1-$D57)*I57</f>
        <v>3750</v>
      </c>
      <c r="O57" s="24">
        <v>26150</v>
      </c>
      <c r="P57" s="24">
        <v>11330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22105</v>
      </c>
      <c r="Z57" s="24">
        <f>SUM(J57:Y57)</f>
        <v>94335</v>
      </c>
      <c r="AA57" s="24">
        <v>64000</v>
      </c>
      <c r="AB57" s="20">
        <f>Z57-AA57</f>
        <v>30335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">
        <v>325</v>
      </c>
    </row>
    <row r="58" spans="1:32" x14ac:dyDescent="0.25">
      <c r="A58" s="22" t="s">
        <v>224</v>
      </c>
      <c r="B58" s="22" t="s">
        <v>225</v>
      </c>
      <c r="C58" s="22" t="s">
        <v>248</v>
      </c>
      <c r="D58" s="23">
        <v>0.25</v>
      </c>
      <c r="E58" s="24">
        <v>0</v>
      </c>
      <c r="F58" s="24">
        <v>28000</v>
      </c>
      <c r="G58" s="24">
        <v>4000</v>
      </c>
      <c r="H58" s="24">
        <v>0</v>
      </c>
      <c r="I58" s="24">
        <v>5000</v>
      </c>
      <c r="J58" s="24">
        <f>(1-$D58)*E58</f>
        <v>0</v>
      </c>
      <c r="K58" s="24">
        <f>(1-$D58)*F58</f>
        <v>21000</v>
      </c>
      <c r="L58" s="24">
        <f>G58</f>
        <v>4000</v>
      </c>
      <c r="M58" s="24">
        <f>(1-$D58)*H58</f>
        <v>0</v>
      </c>
      <c r="N58" s="24">
        <f>(1-$D58)*I58</f>
        <v>3750</v>
      </c>
      <c r="O58" s="24">
        <v>28790</v>
      </c>
      <c r="P58" s="24">
        <v>13230</v>
      </c>
      <c r="Q58" s="24">
        <v>0</v>
      </c>
      <c r="R58" s="24">
        <v>0</v>
      </c>
      <c r="S58" s="24">
        <v>0</v>
      </c>
      <c r="T58" s="24">
        <v>6000</v>
      </c>
      <c r="U58" s="24">
        <v>0</v>
      </c>
      <c r="V58" s="24">
        <v>0</v>
      </c>
      <c r="W58" s="24">
        <v>0</v>
      </c>
      <c r="X58" s="24">
        <v>0</v>
      </c>
      <c r="Y58" s="24">
        <v>24395</v>
      </c>
      <c r="Z58" s="24">
        <f>SUM(J58:Y58)</f>
        <v>101165</v>
      </c>
      <c r="AA58" s="24">
        <v>64000</v>
      </c>
      <c r="AB58" s="20">
        <f>Z58-AA58</f>
        <v>37165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">
        <v>325</v>
      </c>
    </row>
    <row r="59" spans="1:32" x14ac:dyDescent="0.25">
      <c r="A59" s="22" t="s">
        <v>153</v>
      </c>
      <c r="B59" s="22" t="s">
        <v>154</v>
      </c>
      <c r="C59" s="22" t="s">
        <v>30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26000</v>
      </c>
      <c r="L59" s="24">
        <f>G59</f>
        <v>4000</v>
      </c>
      <c r="M59" s="24">
        <f>(1-$D59)*H59</f>
        <v>1000</v>
      </c>
      <c r="N59" s="24">
        <f>(1-$D59)*I59</f>
        <v>0</v>
      </c>
      <c r="O59" s="24">
        <v>12480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51030</v>
      </c>
      <c r="AA59" s="24">
        <v>0</v>
      </c>
      <c r="AB59" s="20">
        <f>Z59-AA59</f>
        <v>51030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">
        <v>325</v>
      </c>
    </row>
    <row r="60" spans="1:32" x14ac:dyDescent="0.25">
      <c r="A60" s="22" t="s">
        <v>175</v>
      </c>
      <c r="B60" s="22" t="s">
        <v>176</v>
      </c>
      <c r="C60" s="22" t="s">
        <v>49</v>
      </c>
      <c r="D60" s="23">
        <v>0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>(1-$D60)*E60</f>
        <v>0</v>
      </c>
      <c r="K60" s="24">
        <f>(1-$D60)*F60</f>
        <v>26000</v>
      </c>
      <c r="L60" s="24">
        <f>G60</f>
        <v>4000</v>
      </c>
      <c r="M60" s="24">
        <f>(1-$D60)*H60</f>
        <v>1000</v>
      </c>
      <c r="N60" s="24">
        <f>(1-$D60)*I60</f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2000</v>
      </c>
      <c r="Z60" s="24">
        <f>SUM(J60:Y60)</f>
        <v>45140</v>
      </c>
      <c r="AA60" s="24">
        <v>50440</v>
      </c>
      <c r="AB60" s="20">
        <f>Z60-AA60</f>
        <v>-5300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">
        <v>325</v>
      </c>
    </row>
    <row r="61" spans="1:32" x14ac:dyDescent="0.25">
      <c r="A61" s="22" t="s">
        <v>280</v>
      </c>
      <c r="B61" s="22" t="s">
        <v>360</v>
      </c>
      <c r="C61" s="22" t="s">
        <v>67</v>
      </c>
      <c r="D61" s="23">
        <v>0.25</v>
      </c>
      <c r="E61" s="24">
        <v>3000</v>
      </c>
      <c r="F61" s="24">
        <v>33000</v>
      </c>
      <c r="G61" s="24">
        <v>5000</v>
      </c>
      <c r="H61" s="24">
        <v>2000</v>
      </c>
      <c r="I61" s="24">
        <v>6000</v>
      </c>
      <c r="J61" s="24">
        <f>(1-$D61)*E61</f>
        <v>2250</v>
      </c>
      <c r="K61" s="24">
        <f>(1-$D61)*F61</f>
        <v>24750</v>
      </c>
      <c r="L61" s="24">
        <f>G61</f>
        <v>5000</v>
      </c>
      <c r="M61" s="24">
        <f>(1-$D61)*H61</f>
        <v>1500</v>
      </c>
      <c r="N61" s="24">
        <f>(1-$D61)*I61</f>
        <v>4500</v>
      </c>
      <c r="O61" s="24">
        <v>22400</v>
      </c>
      <c r="P61" s="24">
        <v>14330</v>
      </c>
      <c r="Q61" s="24">
        <v>12000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>SUM(J61:Y61)</f>
        <v>102730</v>
      </c>
      <c r="AA61" s="24">
        <v>100000</v>
      </c>
      <c r="AB61" s="20">
        <f>Z61-AA61</f>
        <v>2730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">
        <v>325</v>
      </c>
    </row>
    <row r="62" spans="1:32" x14ac:dyDescent="0.25">
      <c r="A62" s="22" t="s">
        <v>280</v>
      </c>
      <c r="B62" s="22" t="s">
        <v>193</v>
      </c>
      <c r="C62" s="22" t="s">
        <v>97</v>
      </c>
      <c r="D62" s="23">
        <v>0.25</v>
      </c>
      <c r="E62" s="24">
        <v>3000</v>
      </c>
      <c r="F62" s="24">
        <v>40000</v>
      </c>
      <c r="G62" s="24">
        <v>5000</v>
      </c>
      <c r="H62" s="24">
        <v>2000</v>
      </c>
      <c r="I62" s="24">
        <v>8000</v>
      </c>
      <c r="J62" s="24">
        <f>(1-$D62)*E62</f>
        <v>2250</v>
      </c>
      <c r="K62" s="24">
        <f>(1-$D62)*F62</f>
        <v>30000</v>
      </c>
      <c r="L62" s="24">
        <f>G62</f>
        <v>5000</v>
      </c>
      <c r="M62" s="24">
        <f>(1-$D62)*H62</f>
        <v>1500</v>
      </c>
      <c r="N62" s="24">
        <f>(1-$D62)*I62</f>
        <v>6000</v>
      </c>
      <c r="O62" s="24">
        <v>11880</v>
      </c>
      <c r="P62" s="24">
        <v>14330</v>
      </c>
      <c r="Q62" s="24">
        <v>20000</v>
      </c>
      <c r="R62" s="24">
        <v>8000</v>
      </c>
      <c r="S62" s="24">
        <v>8000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106960</v>
      </c>
      <c r="AA62" s="24">
        <v>100000</v>
      </c>
      <c r="AB62" s="20">
        <f>Z62-AA62</f>
        <v>6960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">
        <v>325</v>
      </c>
    </row>
    <row r="63" spans="1:32" x14ac:dyDescent="0.25">
      <c r="A63" s="22" t="s">
        <v>155</v>
      </c>
      <c r="B63" s="22" t="s">
        <v>156</v>
      </c>
      <c r="C63" s="22" t="s">
        <v>44</v>
      </c>
      <c r="D63" s="23">
        <v>0</v>
      </c>
      <c r="E63" s="24">
        <v>0</v>
      </c>
      <c r="F63" s="24">
        <v>26000</v>
      </c>
      <c r="G63" s="24">
        <v>4000</v>
      </c>
      <c r="H63" s="24">
        <v>0</v>
      </c>
      <c r="I63" s="24">
        <v>0</v>
      </c>
      <c r="J63" s="24">
        <f>(1-$D63)*E63</f>
        <v>0</v>
      </c>
      <c r="K63" s="24">
        <f>(1-$D63)*F63</f>
        <v>26000</v>
      </c>
      <c r="L63" s="24">
        <f>G63</f>
        <v>4000</v>
      </c>
      <c r="M63" s="24">
        <f>(1-$D63)*H63</f>
        <v>0</v>
      </c>
      <c r="N63" s="24">
        <f>(1-$D63)*I63</f>
        <v>0</v>
      </c>
      <c r="O63" s="24">
        <v>13380</v>
      </c>
      <c r="P63" s="24">
        <v>7550</v>
      </c>
      <c r="Q63" s="24">
        <v>0</v>
      </c>
      <c r="R63" s="24">
        <v>0</v>
      </c>
      <c r="S63" s="24">
        <v>0</v>
      </c>
      <c r="T63" s="24">
        <v>6000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56930</v>
      </c>
      <c r="AA63" s="24">
        <v>56930</v>
      </c>
      <c r="AB63" s="20">
        <f>Z63-AA63</f>
        <v>0</v>
      </c>
      <c r="AC63" s="24">
        <f>IF(AND($T63=6000, ($T63+$W63-$AB63)&gt;=6000),T63,"")</f>
        <v>6000</v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">
        <v>325</v>
      </c>
    </row>
    <row r="64" spans="1:32" x14ac:dyDescent="0.25">
      <c r="A64" s="22" t="s">
        <v>180</v>
      </c>
      <c r="B64" s="22" t="s">
        <v>181</v>
      </c>
      <c r="C64" s="22" t="s">
        <v>33</v>
      </c>
      <c r="D64" s="23">
        <v>0</v>
      </c>
      <c r="E64" s="24">
        <v>0</v>
      </c>
      <c r="F64" s="24">
        <v>28000</v>
      </c>
      <c r="G64" s="24">
        <v>4000</v>
      </c>
      <c r="H64" s="24">
        <v>2500</v>
      </c>
      <c r="I64" s="24">
        <v>5000</v>
      </c>
      <c r="J64" s="24">
        <f>(1-$D64)*E64</f>
        <v>0</v>
      </c>
      <c r="K64" s="24">
        <f>(1-$D64)*F64</f>
        <v>28000</v>
      </c>
      <c r="L64" s="24">
        <f>G64</f>
        <v>4000</v>
      </c>
      <c r="M64" s="24">
        <f>(1-$D64)*H64</f>
        <v>2500</v>
      </c>
      <c r="N64" s="24">
        <f>(1-$D64)*I64</f>
        <v>5000</v>
      </c>
      <c r="O64" s="24">
        <v>25970</v>
      </c>
      <c r="P64" s="24">
        <v>11330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76800</v>
      </c>
      <c r="AA64" s="24">
        <v>0</v>
      </c>
      <c r="AB64" s="20">
        <f>Z64-AA64</f>
        <v>76800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">
        <v>325</v>
      </c>
    </row>
    <row r="65" spans="1:32" x14ac:dyDescent="0.25">
      <c r="A65" s="22" t="s">
        <v>177</v>
      </c>
      <c r="B65" s="22" t="s">
        <v>178</v>
      </c>
      <c r="C65" s="22" t="s">
        <v>44</v>
      </c>
      <c r="D65" s="23">
        <v>0.25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>(1-$D65)*E65</f>
        <v>0</v>
      </c>
      <c r="K65" s="24">
        <f>(1-$D65)*F65</f>
        <v>19500</v>
      </c>
      <c r="L65" s="24">
        <f>G65</f>
        <v>4000</v>
      </c>
      <c r="M65" s="24">
        <f>(1-$D65)*H65</f>
        <v>0</v>
      </c>
      <c r="N65" s="24">
        <f>(1-$D65)*I65</f>
        <v>0</v>
      </c>
      <c r="O65" s="24">
        <v>13380</v>
      </c>
      <c r="P65" s="24">
        <v>3950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40830</v>
      </c>
      <c r="AA65" s="24">
        <v>0</v>
      </c>
      <c r="AB65" s="20">
        <f>Z65-AA65</f>
        <v>40830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">
        <v>325</v>
      </c>
    </row>
    <row r="66" spans="1:32" x14ac:dyDescent="0.25">
      <c r="A66" s="22" t="s">
        <v>234</v>
      </c>
      <c r="B66" s="22" t="s">
        <v>255</v>
      </c>
      <c r="C66" s="22" t="s">
        <v>44</v>
      </c>
      <c r="D66" s="23">
        <v>0.05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>(1-$D66)*E66</f>
        <v>0</v>
      </c>
      <c r="K66" s="24">
        <f>(1-$D66)*F66</f>
        <v>24700</v>
      </c>
      <c r="L66" s="24">
        <f>G66</f>
        <v>4000</v>
      </c>
      <c r="M66" s="24">
        <f>(1-$D66)*H66</f>
        <v>0</v>
      </c>
      <c r="N66" s="24">
        <f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>SUM(J66:Y66)</f>
        <v>50630</v>
      </c>
      <c r="AA66" s="24">
        <v>51930</v>
      </c>
      <c r="AB66" s="20">
        <f>Z66-AA66</f>
        <v>-1300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">
        <v>326</v>
      </c>
    </row>
    <row r="67" spans="1:32" x14ac:dyDescent="0.25">
      <c r="A67" s="22" t="s">
        <v>81</v>
      </c>
      <c r="B67" s="22" t="s">
        <v>82</v>
      </c>
      <c r="C67" s="22" t="s">
        <v>33</v>
      </c>
      <c r="D67" s="23">
        <v>0</v>
      </c>
      <c r="E67" s="24">
        <v>0</v>
      </c>
      <c r="F67" s="24">
        <v>28000</v>
      </c>
      <c r="G67" s="24">
        <v>4000</v>
      </c>
      <c r="H67" s="24">
        <v>2500</v>
      </c>
      <c r="I67" s="24">
        <v>5000</v>
      </c>
      <c r="J67" s="24">
        <f>(1-$D67)*E67</f>
        <v>0</v>
      </c>
      <c r="K67" s="24">
        <f>(1-$D67)*F67</f>
        <v>28000</v>
      </c>
      <c r="L67" s="24">
        <f>G67</f>
        <v>4000</v>
      </c>
      <c r="M67" s="24">
        <f>(1-$D67)*H67</f>
        <v>2500</v>
      </c>
      <c r="N67" s="24">
        <f>(1-$D67)*I67</f>
        <v>5000</v>
      </c>
      <c r="O67" s="24">
        <v>25970</v>
      </c>
      <c r="P67" s="24">
        <v>11330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550</v>
      </c>
      <c r="Z67" s="24">
        <f>SUM(J67:Y67)</f>
        <v>77350</v>
      </c>
      <c r="AA67" s="24">
        <v>25000</v>
      </c>
      <c r="AB67" s="20">
        <f>Z67-AA67</f>
        <v>52350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">
        <v>325</v>
      </c>
    </row>
    <row r="68" spans="1:32" x14ac:dyDescent="0.25">
      <c r="A68" s="22" t="s">
        <v>83</v>
      </c>
      <c r="B68" s="22" t="s">
        <v>84</v>
      </c>
      <c r="C68" s="22" t="s">
        <v>46</v>
      </c>
      <c r="D68" s="23">
        <v>0</v>
      </c>
      <c r="E68" s="24">
        <v>0</v>
      </c>
      <c r="F68" s="24">
        <v>28000</v>
      </c>
      <c r="G68" s="24">
        <v>4000</v>
      </c>
      <c r="H68" s="24">
        <v>0</v>
      </c>
      <c r="I68" s="24">
        <v>5000</v>
      </c>
      <c r="J68" s="24">
        <f>(1-$D68)*E68</f>
        <v>0</v>
      </c>
      <c r="K68" s="24">
        <f>(1-$D68)*F68</f>
        <v>28000</v>
      </c>
      <c r="L68" s="24">
        <f>G68</f>
        <v>4000</v>
      </c>
      <c r="M68" s="24">
        <f>(1-$D68)*H68</f>
        <v>0</v>
      </c>
      <c r="N68" s="24">
        <f>(1-$D68)*I68</f>
        <v>5000</v>
      </c>
      <c r="O68" s="24">
        <v>27310</v>
      </c>
      <c r="P68" s="24">
        <v>13230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77540</v>
      </c>
      <c r="AA68" s="24">
        <v>50000</v>
      </c>
      <c r="AB68" s="20">
        <f>Z68-AA68</f>
        <v>27540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">
        <v>325</v>
      </c>
    </row>
    <row r="69" spans="1:32" x14ac:dyDescent="0.25">
      <c r="A69" s="22" t="s">
        <v>85</v>
      </c>
      <c r="B69" s="22" t="s">
        <v>86</v>
      </c>
      <c r="C69" s="22" t="s">
        <v>67</v>
      </c>
      <c r="D69" s="23">
        <v>0.5</v>
      </c>
      <c r="E69" s="24">
        <v>0</v>
      </c>
      <c r="F69" s="24">
        <v>33000</v>
      </c>
      <c r="G69" s="24">
        <v>5000</v>
      </c>
      <c r="H69" s="24">
        <v>2000</v>
      </c>
      <c r="I69" s="24">
        <v>6000</v>
      </c>
      <c r="J69" s="24">
        <f>(1-$D69)*E69</f>
        <v>0</v>
      </c>
      <c r="K69" s="24">
        <f>(1-$D69)*F69</f>
        <v>16500</v>
      </c>
      <c r="L69" s="24">
        <f>G69</f>
        <v>5000</v>
      </c>
      <c r="M69" s="24">
        <f>(1-$D69)*H69</f>
        <v>1000</v>
      </c>
      <c r="N69" s="24">
        <f>(1-$D69)*I69</f>
        <v>3000</v>
      </c>
      <c r="O69" s="24">
        <v>22400</v>
      </c>
      <c r="P69" s="24">
        <v>14330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>SUM(J69:Y69)</f>
        <v>62230</v>
      </c>
      <c r="AA69" s="24">
        <v>50000</v>
      </c>
      <c r="AB69" s="20">
        <f>Z69-AA69</f>
        <v>12230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">
        <v>325</v>
      </c>
    </row>
    <row r="70" spans="1:32" x14ac:dyDescent="0.25">
      <c r="A70" s="22" t="s">
        <v>85</v>
      </c>
      <c r="B70" s="22" t="s">
        <v>87</v>
      </c>
      <c r="C70" s="22" t="s">
        <v>59</v>
      </c>
      <c r="D70" s="23">
        <v>0.25</v>
      </c>
      <c r="E70" s="24">
        <v>0</v>
      </c>
      <c r="F70" s="24">
        <v>28000</v>
      </c>
      <c r="G70" s="24">
        <v>4000</v>
      </c>
      <c r="H70" s="24">
        <v>0</v>
      </c>
      <c r="I70" s="24">
        <v>5000</v>
      </c>
      <c r="J70" s="24">
        <f>(1-$D70)*E70</f>
        <v>0</v>
      </c>
      <c r="K70" s="24">
        <f>(1-$D70)*F70</f>
        <v>21000</v>
      </c>
      <c r="L70" s="24">
        <f>G70</f>
        <v>4000</v>
      </c>
      <c r="M70" s="24">
        <f>(1-$D70)*H70</f>
        <v>0</v>
      </c>
      <c r="N70" s="24">
        <f>(1-$D70)*I70</f>
        <v>3750</v>
      </c>
      <c r="O70" s="24">
        <v>27330</v>
      </c>
      <c r="P70" s="24">
        <v>13230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69310</v>
      </c>
      <c r="AA70" s="24">
        <v>50000</v>
      </c>
      <c r="AB70" s="20">
        <f>Z70-AA70</f>
        <v>19310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">
        <v>325</v>
      </c>
    </row>
    <row r="71" spans="1:32" x14ac:dyDescent="0.25">
      <c r="A71" s="22" t="s">
        <v>367</v>
      </c>
      <c r="B71" s="22" t="s">
        <v>368</v>
      </c>
      <c r="C71" s="22" t="s">
        <v>387</v>
      </c>
      <c r="D71" s="23">
        <v>0.25</v>
      </c>
      <c r="E71" s="24">
        <v>2000</v>
      </c>
      <c r="F71" s="24">
        <v>28000</v>
      </c>
      <c r="G71" s="24">
        <v>4000</v>
      </c>
      <c r="H71" s="24">
        <v>2500</v>
      </c>
      <c r="I71" s="24">
        <v>5000</v>
      </c>
      <c r="J71" s="24">
        <f>(1-$D71)*E71</f>
        <v>1500</v>
      </c>
      <c r="K71" s="24">
        <f>(1-$D71)*F71</f>
        <v>21000</v>
      </c>
      <c r="L71" s="24">
        <f>G71</f>
        <v>4000</v>
      </c>
      <c r="M71" s="24">
        <f>(1-$D71)*H71</f>
        <v>1875</v>
      </c>
      <c r="N71" s="24">
        <f>(1-$D71)*I71</f>
        <v>3750</v>
      </c>
      <c r="O71" s="24">
        <v>26150</v>
      </c>
      <c r="P71" s="24">
        <v>11330</v>
      </c>
      <c r="Q71" s="24">
        <v>16000</v>
      </c>
      <c r="R71" s="24">
        <v>8000</v>
      </c>
      <c r="S71" s="24">
        <v>7000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100605</v>
      </c>
      <c r="AA71" s="24">
        <v>30000</v>
      </c>
      <c r="AB71" s="20">
        <f>Z71-AA71</f>
        <v>70605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/>
    </row>
    <row r="72" spans="1:32" x14ac:dyDescent="0.25">
      <c r="A72" s="22" t="s">
        <v>353</v>
      </c>
      <c r="B72" s="22" t="s">
        <v>354</v>
      </c>
      <c r="C72" s="22" t="s">
        <v>252</v>
      </c>
      <c r="D72" s="23">
        <v>0</v>
      </c>
      <c r="E72" s="24">
        <v>2000</v>
      </c>
      <c r="F72" s="24">
        <v>26000</v>
      </c>
      <c r="G72" s="24">
        <v>2000</v>
      </c>
      <c r="H72" s="24">
        <v>0</v>
      </c>
      <c r="I72" s="24">
        <v>0</v>
      </c>
      <c r="J72" s="24">
        <f>(1-$D72)*E72</f>
        <v>2000</v>
      </c>
      <c r="K72" s="24">
        <f>(1-$D72)*F72</f>
        <v>26000</v>
      </c>
      <c r="L72" s="24">
        <f>G72</f>
        <v>2000</v>
      </c>
      <c r="M72" s="24">
        <f>(1-$D72)*H72</f>
        <v>0</v>
      </c>
      <c r="N72" s="24">
        <f>(1-$D72)*I72</f>
        <v>0</v>
      </c>
      <c r="O72" s="24">
        <v>0</v>
      </c>
      <c r="P72" s="24">
        <v>3050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>SUM(J72:Y72)</f>
        <v>33050</v>
      </c>
      <c r="AA72" s="24">
        <v>0</v>
      </c>
      <c r="AB72" s="20">
        <f>Z72-AA72</f>
        <v>33050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4"/>
    </row>
    <row r="73" spans="1:32" x14ac:dyDescent="0.25">
      <c r="A73" s="22" t="s">
        <v>195</v>
      </c>
      <c r="B73" s="22" t="s">
        <v>196</v>
      </c>
      <c r="C73" s="22" t="s">
        <v>36</v>
      </c>
      <c r="D73" s="23">
        <v>0</v>
      </c>
      <c r="E73" s="24">
        <v>0</v>
      </c>
      <c r="F73" s="24">
        <v>33000</v>
      </c>
      <c r="G73" s="24">
        <v>5000</v>
      </c>
      <c r="H73" s="24">
        <v>2000</v>
      </c>
      <c r="I73" s="24">
        <v>6000</v>
      </c>
      <c r="J73" s="24">
        <f>(1-$D73)*E73</f>
        <v>0</v>
      </c>
      <c r="K73" s="24">
        <f>(1-$D73)*F73</f>
        <v>33000</v>
      </c>
      <c r="L73" s="24">
        <f>G73</f>
        <v>5000</v>
      </c>
      <c r="M73" s="24">
        <f>(1-$D73)*H73</f>
        <v>2000</v>
      </c>
      <c r="N73" s="24">
        <f>(1-$D73)*I73</f>
        <v>6000</v>
      </c>
      <c r="O73" s="24">
        <v>19500</v>
      </c>
      <c r="P73" s="24">
        <v>14330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79830</v>
      </c>
      <c r="AA73" s="24">
        <v>0</v>
      </c>
      <c r="AB73" s="20">
        <f>Z73-AA73</f>
        <v>79830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">
        <v>325</v>
      </c>
    </row>
    <row r="74" spans="1:32" x14ac:dyDescent="0.25">
      <c r="A74" s="22" t="s">
        <v>213</v>
      </c>
      <c r="B74" s="22" t="s">
        <v>223</v>
      </c>
      <c r="C74" s="22" t="s">
        <v>49</v>
      </c>
      <c r="D74" s="23">
        <v>0.55000000000000004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11699.999999999998</v>
      </c>
      <c r="L74" s="24">
        <f>G74</f>
        <v>4000</v>
      </c>
      <c r="M74" s="24">
        <f>(1-$D74)*H74</f>
        <v>449.99999999999994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28290</v>
      </c>
      <c r="AA74" s="24">
        <v>29640</v>
      </c>
      <c r="AB74" s="20">
        <f>Z74-AA74</f>
        <v>-1350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">
        <v>326</v>
      </c>
    </row>
    <row r="75" spans="1:32" x14ac:dyDescent="0.25">
      <c r="A75" s="22" t="s">
        <v>157</v>
      </c>
      <c r="B75" s="22" t="s">
        <v>73</v>
      </c>
      <c r="C75" s="22" t="s">
        <v>44</v>
      </c>
      <c r="D75" s="23">
        <v>0.5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13000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8000</v>
      </c>
      <c r="Z75" s="24">
        <f>SUM(J75:Y75)</f>
        <v>45930</v>
      </c>
      <c r="AA75" s="24">
        <v>0</v>
      </c>
      <c r="AB75" s="20">
        <f>Z75-AA75</f>
        <v>45930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">
        <v>325</v>
      </c>
    </row>
    <row r="76" spans="1:32" x14ac:dyDescent="0.25">
      <c r="A76" s="22" t="s">
        <v>157</v>
      </c>
      <c r="B76" s="22" t="s">
        <v>158</v>
      </c>
      <c r="C76" s="22" t="s">
        <v>44</v>
      </c>
      <c r="D76" s="23">
        <v>0.5</v>
      </c>
      <c r="E76" s="24">
        <v>0</v>
      </c>
      <c r="F76" s="24">
        <v>26000</v>
      </c>
      <c r="G76" s="24">
        <v>4000</v>
      </c>
      <c r="H76" s="24">
        <v>0</v>
      </c>
      <c r="I76" s="24">
        <v>0</v>
      </c>
      <c r="J76" s="24">
        <f>(1-$D76)*E76</f>
        <v>0</v>
      </c>
      <c r="K76" s="24">
        <f>(1-$D76)*F76</f>
        <v>13000</v>
      </c>
      <c r="L76" s="24">
        <f>G76</f>
        <v>4000</v>
      </c>
      <c r="M76" s="24">
        <f>(1-$D76)*H76</f>
        <v>0</v>
      </c>
      <c r="N76" s="24">
        <f>(1-$D76)*I76</f>
        <v>0</v>
      </c>
      <c r="O76" s="24">
        <v>13380</v>
      </c>
      <c r="P76" s="24">
        <v>7550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8000</v>
      </c>
      <c r="Z76" s="24">
        <f>SUM(J76:Y76)</f>
        <v>45930</v>
      </c>
      <c r="AA76" s="24">
        <v>0</v>
      </c>
      <c r="AB76" s="20">
        <f>Z76-AA76</f>
        <v>45930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">
        <v>325</v>
      </c>
    </row>
    <row r="77" spans="1:32" x14ac:dyDescent="0.25">
      <c r="A77" s="22" t="s">
        <v>157</v>
      </c>
      <c r="B77" s="22" t="s">
        <v>222</v>
      </c>
      <c r="C77" s="22" t="s">
        <v>59</v>
      </c>
      <c r="D77" s="23">
        <v>0.5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>(1-$D77)*E77</f>
        <v>0</v>
      </c>
      <c r="K77" s="24">
        <f>(1-$D77)*F77</f>
        <v>14000</v>
      </c>
      <c r="L77" s="24">
        <f>G77</f>
        <v>4000</v>
      </c>
      <c r="M77" s="24">
        <f>(1-$D77)*H77</f>
        <v>0</v>
      </c>
      <c r="N77" s="24">
        <f>(1-$D77)*I77</f>
        <v>2500</v>
      </c>
      <c r="O77" s="24">
        <v>27330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8080</v>
      </c>
      <c r="Z77" s="24">
        <f>SUM(J77:Y77)</f>
        <v>69140</v>
      </c>
      <c r="AA77" s="24">
        <v>0</v>
      </c>
      <c r="AB77" s="20">
        <f>Z77-AA77</f>
        <v>69140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">
        <v>325</v>
      </c>
    </row>
    <row r="78" spans="1:32" x14ac:dyDescent="0.25">
      <c r="A78" s="22" t="s">
        <v>171</v>
      </c>
      <c r="B78" s="22" t="s">
        <v>172</v>
      </c>
      <c r="C78" s="22" t="s">
        <v>49</v>
      </c>
      <c r="D78" s="23">
        <v>0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>(1-$D78)*E78</f>
        <v>0</v>
      </c>
      <c r="K78" s="24">
        <f>(1-$D78)*F78</f>
        <v>26000</v>
      </c>
      <c r="L78" s="24">
        <f>G78</f>
        <v>4000</v>
      </c>
      <c r="M78" s="24">
        <f>(1-$D78)*H78</f>
        <v>1000</v>
      </c>
      <c r="N78" s="24">
        <f>(1-$D78)*I78</f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43140</v>
      </c>
      <c r="AA78" s="24">
        <v>0</v>
      </c>
      <c r="AB78" s="20">
        <f>Z78-AA78</f>
        <v>43140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">
        <v>325</v>
      </c>
    </row>
    <row r="79" spans="1:32" x14ac:dyDescent="0.25">
      <c r="A79" s="22" t="s">
        <v>88</v>
      </c>
      <c r="B79" s="22" t="s">
        <v>206</v>
      </c>
      <c r="C79" s="22" t="s">
        <v>47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>(1-$D79)*E79</f>
        <v>0</v>
      </c>
      <c r="K79" s="24">
        <f>(1-$D79)*F79</f>
        <v>19500</v>
      </c>
      <c r="L79" s="24">
        <f>G79</f>
        <v>4000</v>
      </c>
      <c r="M79" s="24">
        <f>(1-$D79)*H79</f>
        <v>0</v>
      </c>
      <c r="N79" s="24">
        <f>(1-$D79)*I79</f>
        <v>0</v>
      </c>
      <c r="O79" s="24">
        <v>24930</v>
      </c>
      <c r="P79" s="24">
        <v>10730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>SUM(J79:Y79)</f>
        <v>65160</v>
      </c>
      <c r="AA79" s="24">
        <v>65160</v>
      </c>
      <c r="AB79" s="20">
        <f>Z79-AA79</f>
        <v>0</v>
      </c>
      <c r="AC79" s="24">
        <f>IF(AND($T79=6000, ($T79+$W79-$AB79)&gt;=6000),T79,"")</f>
        <v>6000</v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">
        <v>325</v>
      </c>
    </row>
    <row r="80" spans="1:32" x14ac:dyDescent="0.25">
      <c r="A80" s="22" t="s">
        <v>88</v>
      </c>
      <c r="B80" s="22" t="s">
        <v>219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>(1-$D80)*E80</f>
        <v>0</v>
      </c>
      <c r="K80" s="24">
        <f>(1-$D80)*F80</f>
        <v>19500</v>
      </c>
      <c r="L80" s="24">
        <f>G80</f>
        <v>4000</v>
      </c>
      <c r="M80" s="24">
        <f>(1-$D80)*H80</f>
        <v>750</v>
      </c>
      <c r="N80" s="24">
        <f>(1-$D80)*I80</f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-500</v>
      </c>
      <c r="Z80" s="24">
        <f>SUM(J80:Y80)</f>
        <v>35890</v>
      </c>
      <c r="AA80" s="24">
        <v>35890</v>
      </c>
      <c r="AB80" s="20">
        <f>Z80-AA80</f>
        <v>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">
        <v>325</v>
      </c>
    </row>
    <row r="81" spans="1:32" x14ac:dyDescent="0.25">
      <c r="A81" s="22" t="s">
        <v>159</v>
      </c>
      <c r="B81" s="22" t="s">
        <v>160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>(1-$D81)*E81</f>
        <v>0</v>
      </c>
      <c r="K81" s="24">
        <f>(1-$D81)*F81</f>
        <v>19500</v>
      </c>
      <c r="L81" s="24">
        <f>G81</f>
        <v>4000</v>
      </c>
      <c r="M81" s="24">
        <f>(1-$D81)*H81</f>
        <v>0</v>
      </c>
      <c r="N81" s="24">
        <f>(1-$D81)*I81</f>
        <v>0</v>
      </c>
      <c r="O81" s="24">
        <v>13380</v>
      </c>
      <c r="P81" s="24">
        <v>7550</v>
      </c>
      <c r="Q81" s="24">
        <v>0</v>
      </c>
      <c r="R81" s="24">
        <v>0</v>
      </c>
      <c r="S81" s="24">
        <v>0</v>
      </c>
      <c r="T81" s="24">
        <v>6000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>SUM(J81:Y81)</f>
        <v>50430</v>
      </c>
      <c r="AA81" s="24">
        <v>0</v>
      </c>
      <c r="AB81" s="20">
        <f>Z81-AA81</f>
        <v>50430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">
        <v>325</v>
      </c>
    </row>
    <row r="82" spans="1:32" x14ac:dyDescent="0.25">
      <c r="A82" s="22" t="s">
        <v>159</v>
      </c>
      <c r="B82" s="22" t="s">
        <v>215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750</v>
      </c>
      <c r="N82" s="24">
        <f>(1-$D82)*I82</f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36390</v>
      </c>
      <c r="AA82" s="24">
        <v>0</v>
      </c>
      <c r="AB82" s="20">
        <f>Z82-AA82</f>
        <v>36390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">
        <v>325</v>
      </c>
    </row>
    <row r="83" spans="1:32" x14ac:dyDescent="0.25">
      <c r="A83" s="22" t="s">
        <v>161</v>
      </c>
      <c r="B83" s="22" t="s">
        <v>163</v>
      </c>
      <c r="C83" s="22" t="s">
        <v>44</v>
      </c>
      <c r="D83" s="23">
        <v>0.25</v>
      </c>
      <c r="E83" s="24">
        <v>0</v>
      </c>
      <c r="F83" s="24">
        <v>26000</v>
      </c>
      <c r="G83" s="24">
        <v>4000</v>
      </c>
      <c r="H83" s="24">
        <v>0</v>
      </c>
      <c r="I83" s="24">
        <v>0</v>
      </c>
      <c r="J83" s="24">
        <f>(1-$D83)*E83</f>
        <v>0</v>
      </c>
      <c r="K83" s="24">
        <f>(1-$D83)*F83</f>
        <v>19500</v>
      </c>
      <c r="L83" s="24">
        <f>G83</f>
        <v>4000</v>
      </c>
      <c r="M83" s="24">
        <f>(1-$D83)*H83</f>
        <v>0</v>
      </c>
      <c r="N83" s="24">
        <f>(1-$D83)*I83</f>
        <v>0</v>
      </c>
      <c r="O83" s="24">
        <v>13380</v>
      </c>
      <c r="P83" s="24">
        <v>4850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>SUM(J83:Y83)</f>
        <v>47730</v>
      </c>
      <c r="AA83" s="24">
        <v>25000</v>
      </c>
      <c r="AB83" s="20">
        <f>Z83-AA83</f>
        <v>22730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">
        <v>325</v>
      </c>
    </row>
    <row r="84" spans="1:32" x14ac:dyDescent="0.25">
      <c r="A84" s="22" t="s">
        <v>161</v>
      </c>
      <c r="B84" s="22" t="s">
        <v>162</v>
      </c>
      <c r="C84" s="22" t="s">
        <v>46</v>
      </c>
      <c r="D84" s="23">
        <v>0.25</v>
      </c>
      <c r="E84" s="24">
        <v>0</v>
      </c>
      <c r="F84" s="24">
        <v>28000</v>
      </c>
      <c r="G84" s="24">
        <v>4000</v>
      </c>
      <c r="H84" s="24">
        <v>0</v>
      </c>
      <c r="I84" s="24">
        <v>5000</v>
      </c>
      <c r="J84" s="24">
        <f>(1-$D84)*E84</f>
        <v>0</v>
      </c>
      <c r="K84" s="24">
        <f>(1-$D84)*F84</f>
        <v>21000</v>
      </c>
      <c r="L84" s="24">
        <f>G84</f>
        <v>4000</v>
      </c>
      <c r="M84" s="24">
        <f>(1-$D84)*H84</f>
        <v>0</v>
      </c>
      <c r="N84" s="24">
        <f>(1-$D84)*I84</f>
        <v>3750</v>
      </c>
      <c r="O84" s="24">
        <v>27310</v>
      </c>
      <c r="P84" s="24">
        <v>13230</v>
      </c>
      <c r="Q84" s="24">
        <v>0</v>
      </c>
      <c r="R84" s="24">
        <v>0</v>
      </c>
      <c r="S84" s="24">
        <v>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-695</v>
      </c>
      <c r="Z84" s="24">
        <f>SUM(J84:Y84)</f>
        <v>74595</v>
      </c>
      <c r="AA84" s="24">
        <v>25000</v>
      </c>
      <c r="AB84" s="20">
        <f>Z84-AA84</f>
        <v>49595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">
        <v>325</v>
      </c>
    </row>
    <row r="85" spans="1:32" x14ac:dyDescent="0.25">
      <c r="A85" s="22" t="s">
        <v>351</v>
      </c>
      <c r="B85" s="22" t="s">
        <v>352</v>
      </c>
      <c r="C85" s="22" t="s">
        <v>48</v>
      </c>
      <c r="D85" s="23">
        <v>0</v>
      </c>
      <c r="E85" s="24">
        <v>2000</v>
      </c>
      <c r="F85" s="24">
        <v>28000</v>
      </c>
      <c r="G85" s="24">
        <v>4000</v>
      </c>
      <c r="H85" s="24">
        <v>2500</v>
      </c>
      <c r="I85" s="24">
        <v>5000</v>
      </c>
      <c r="J85" s="24">
        <f>(1-$D85)*E85</f>
        <v>2000</v>
      </c>
      <c r="K85" s="24">
        <f>(1-$D85)*F85</f>
        <v>28000</v>
      </c>
      <c r="L85" s="24">
        <f>G85</f>
        <v>4000</v>
      </c>
      <c r="M85" s="24">
        <f>(1-$D85)*H85</f>
        <v>2500</v>
      </c>
      <c r="N85" s="24">
        <f>(1-$D85)*I85</f>
        <v>5000</v>
      </c>
      <c r="O85" s="24">
        <v>26150</v>
      </c>
      <c r="P85" s="24">
        <v>11330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115980</v>
      </c>
      <c r="AA85" s="24">
        <v>116000</v>
      </c>
      <c r="AB85" s="20">
        <f>Z85-AA85</f>
        <v>-20</v>
      </c>
      <c r="AC85" s="24">
        <f>IF(AND($T85=6000, ($T85+$W85-$AB85)&gt;=6000),T85,"")</f>
        <v>6000</v>
      </c>
      <c r="AD85" s="24" t="str">
        <f>IF(AND($T85=8000, ($T85+$W85-$AB85)&gt;=8000),T85,"")</f>
        <v/>
      </c>
      <c r="AE85" s="24" t="str">
        <f>IF(($T85+$W85-$AB85)&gt;=$T85+8000,W85,"")</f>
        <v/>
      </c>
      <c r="AF85" s="24"/>
    </row>
    <row r="86" spans="1:32" x14ac:dyDescent="0.25">
      <c r="A86" s="22" t="s">
        <v>385</v>
      </c>
      <c r="B86" s="22" t="s">
        <v>386</v>
      </c>
      <c r="C86" s="22" t="s">
        <v>248</v>
      </c>
      <c r="D86" s="23">
        <v>0.25</v>
      </c>
      <c r="E86" s="24">
        <v>2000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1500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28790</v>
      </c>
      <c r="P86" s="24">
        <v>13230</v>
      </c>
      <c r="Q86" s="24">
        <v>16000</v>
      </c>
      <c r="R86" s="24">
        <v>8000</v>
      </c>
      <c r="S86" s="24">
        <v>7000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105145</v>
      </c>
      <c r="AA86" s="24">
        <v>0</v>
      </c>
      <c r="AB86" s="20">
        <f>Z86-AA86</f>
        <v>105145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/>
    </row>
    <row r="87" spans="1:32" x14ac:dyDescent="0.25">
      <c r="A87" s="22" t="s">
        <v>237</v>
      </c>
      <c r="B87" s="22" t="s">
        <v>238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>(1-$D87)*E87</f>
        <v>0</v>
      </c>
      <c r="K87" s="24">
        <f>(1-$D87)*F87</f>
        <v>26000</v>
      </c>
      <c r="L87" s="24">
        <f>G87</f>
        <v>4000</v>
      </c>
      <c r="M87" s="24">
        <f>(1-$D87)*H87</f>
        <v>0</v>
      </c>
      <c r="N87" s="24">
        <f>(1-$D87)*I87</f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14000</v>
      </c>
      <c r="Z87" s="24">
        <f>SUM(J87:Y87)</f>
        <v>64930</v>
      </c>
      <c r="AA87" s="24">
        <v>22000</v>
      </c>
      <c r="AB87" s="20">
        <f>Z87-AA87</f>
        <v>42930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  <c r="AF87" s="25" t="s">
        <v>325</v>
      </c>
    </row>
    <row r="88" spans="1:32" x14ac:dyDescent="0.25">
      <c r="A88" s="22" t="s">
        <v>89</v>
      </c>
      <c r="B88" s="22" t="s">
        <v>92</v>
      </c>
      <c r="C88" s="22" t="s">
        <v>36</v>
      </c>
      <c r="D88" s="23">
        <v>0.3</v>
      </c>
      <c r="E88" s="24">
        <v>0</v>
      </c>
      <c r="F88" s="24">
        <v>33000</v>
      </c>
      <c r="G88" s="24">
        <v>5000</v>
      </c>
      <c r="H88" s="24">
        <v>2000</v>
      </c>
      <c r="I88" s="24">
        <v>6000</v>
      </c>
      <c r="J88" s="24">
        <f>(1-$D88)*E88</f>
        <v>0</v>
      </c>
      <c r="K88" s="24">
        <f>(1-$D88)*F88</f>
        <v>23100</v>
      </c>
      <c r="L88" s="24">
        <f>G88</f>
        <v>5000</v>
      </c>
      <c r="M88" s="24">
        <f>(1-$D88)*H88</f>
        <v>1400</v>
      </c>
      <c r="N88" s="24">
        <f>(1-$D88)*I88</f>
        <v>4200</v>
      </c>
      <c r="O88" s="24">
        <v>19500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67530</v>
      </c>
      <c r="AA88" s="24">
        <v>30000</v>
      </c>
      <c r="AB88" s="20">
        <f>Z88-AA88</f>
        <v>37530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">
        <v>325</v>
      </c>
    </row>
    <row r="89" spans="1:32" x14ac:dyDescent="0.25">
      <c r="A89" s="22" t="s">
        <v>89</v>
      </c>
      <c r="B89" s="22" t="s">
        <v>91</v>
      </c>
      <c r="C89" s="22" t="s">
        <v>46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>(1-$D89)*E89</f>
        <v>0</v>
      </c>
      <c r="K89" s="24">
        <f>(1-$D89)*F89</f>
        <v>21000</v>
      </c>
      <c r="L89" s="24">
        <f>G89</f>
        <v>4000</v>
      </c>
      <c r="M89" s="24">
        <f>(1-$D89)*H89</f>
        <v>0</v>
      </c>
      <c r="N89" s="24">
        <f>(1-$D89)*I89</f>
        <v>3750</v>
      </c>
      <c r="O89" s="24">
        <v>27310</v>
      </c>
      <c r="P89" s="24">
        <v>10740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450</v>
      </c>
      <c r="Z89" s="24">
        <f>SUM(J89:Y89)</f>
        <v>67250</v>
      </c>
      <c r="AA89" s="24">
        <v>38790</v>
      </c>
      <c r="AB89" s="20">
        <f>Z89-AA89</f>
        <v>28460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">
        <v>325</v>
      </c>
    </row>
    <row r="90" spans="1:32" x14ac:dyDescent="0.25">
      <c r="A90" s="22" t="s">
        <v>89</v>
      </c>
      <c r="B90" s="22" t="s">
        <v>90</v>
      </c>
      <c r="C90" s="22" t="s">
        <v>70</v>
      </c>
      <c r="D90" s="23">
        <v>1</v>
      </c>
      <c r="E90" s="24">
        <v>0</v>
      </c>
      <c r="F90" s="24">
        <v>40000</v>
      </c>
      <c r="G90" s="24">
        <v>5000</v>
      </c>
      <c r="H90" s="24">
        <v>2000</v>
      </c>
      <c r="I90" s="24">
        <v>8000</v>
      </c>
      <c r="J90" s="24">
        <f>(1-$D90)*E90</f>
        <v>0</v>
      </c>
      <c r="K90" s="24">
        <f>(1-$D90)*F90</f>
        <v>0</v>
      </c>
      <c r="L90" s="24">
        <f>G90</f>
        <v>5000</v>
      </c>
      <c r="M90" s="24">
        <f>(1-$D90)*H90</f>
        <v>0</v>
      </c>
      <c r="N90" s="24">
        <f>(1-$D90)*I90</f>
        <v>0</v>
      </c>
      <c r="O90" s="24">
        <v>11880</v>
      </c>
      <c r="P90" s="24">
        <v>14330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>SUM(J90:Y90)</f>
        <v>31210</v>
      </c>
      <c r="AA90" s="24">
        <v>31210</v>
      </c>
      <c r="AB90" s="20">
        <f>Z90-AA90</f>
        <v>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">
        <v>325</v>
      </c>
    </row>
    <row r="91" spans="1:32" x14ac:dyDescent="0.25">
      <c r="A91" s="22" t="s">
        <v>93</v>
      </c>
      <c r="B91" s="22" t="s">
        <v>94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>(1-$D91)*E91</f>
        <v>0</v>
      </c>
      <c r="K91" s="24">
        <f>(1-$D91)*F91</f>
        <v>26000</v>
      </c>
      <c r="L91" s="24">
        <f>G91</f>
        <v>4000</v>
      </c>
      <c r="M91" s="24">
        <f>(1-$D91)*H91</f>
        <v>0</v>
      </c>
      <c r="N91" s="24">
        <f>(1-$D91)*I91</f>
        <v>0</v>
      </c>
      <c r="O91" s="24">
        <v>13380</v>
      </c>
      <c r="P91" s="24">
        <v>7550</v>
      </c>
      <c r="Q91" s="24">
        <v>8000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7000</v>
      </c>
      <c r="Z91" s="24">
        <f>SUM(J91:Y91)</f>
        <v>65930</v>
      </c>
      <c r="AA91" s="24">
        <v>0</v>
      </c>
      <c r="AB91" s="20">
        <f>Z91-AA91</f>
        <v>65930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">
        <v>325</v>
      </c>
    </row>
    <row r="92" spans="1:32" x14ac:dyDescent="0.25">
      <c r="A92" s="22" t="s">
        <v>207</v>
      </c>
      <c r="B92" s="22" t="s">
        <v>217</v>
      </c>
      <c r="C92" s="22" t="s">
        <v>49</v>
      </c>
      <c r="D92" s="23">
        <v>0.25</v>
      </c>
      <c r="E92" s="24">
        <v>0</v>
      </c>
      <c r="F92" s="24">
        <v>26000</v>
      </c>
      <c r="G92" s="24">
        <v>4000</v>
      </c>
      <c r="H92" s="24">
        <v>1000</v>
      </c>
      <c r="I92" s="24">
        <v>0</v>
      </c>
      <c r="J92" s="24">
        <f>(1-$D92)*E92</f>
        <v>0</v>
      </c>
      <c r="K92" s="24">
        <f>(1-$D92)*F92</f>
        <v>19500</v>
      </c>
      <c r="L92" s="24">
        <f>G92</f>
        <v>4000</v>
      </c>
      <c r="M92" s="24">
        <f>(1-$D92)*H92</f>
        <v>750</v>
      </c>
      <c r="N92" s="24">
        <f>(1-$D92)*I92</f>
        <v>0</v>
      </c>
      <c r="O92" s="24">
        <v>6840</v>
      </c>
      <c r="P92" s="24">
        <v>5300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19200</v>
      </c>
      <c r="Z92" s="24">
        <f>SUM(J92:Y92)</f>
        <v>55590</v>
      </c>
      <c r="AA92" s="24">
        <v>25000</v>
      </c>
      <c r="AB92" s="20">
        <f>Z92-AA92</f>
        <v>30590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 t="s">
        <v>325</v>
      </c>
    </row>
    <row r="93" spans="1:32" x14ac:dyDescent="0.25">
      <c r="A93" s="22" t="s">
        <v>207</v>
      </c>
      <c r="B93" s="22" t="s">
        <v>216</v>
      </c>
      <c r="C93" s="22" t="s">
        <v>49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>(1-$D93)*E93</f>
        <v>0</v>
      </c>
      <c r="K93" s="24">
        <f>(1-$D93)*F93</f>
        <v>19500</v>
      </c>
      <c r="L93" s="24">
        <f>G93</f>
        <v>4000</v>
      </c>
      <c r="M93" s="24">
        <f>(1-$D93)*H93</f>
        <v>750</v>
      </c>
      <c r="N93" s="24">
        <f>(1-$D93)*I93</f>
        <v>0</v>
      </c>
      <c r="O93" s="24">
        <v>6840</v>
      </c>
      <c r="P93" s="24">
        <v>5300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19200</v>
      </c>
      <c r="Z93" s="24">
        <f>SUM(J93:Y93)</f>
        <v>55590</v>
      </c>
      <c r="AA93" s="24">
        <v>25000</v>
      </c>
      <c r="AB93" s="20">
        <f>Z93-AA93</f>
        <v>30590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">
        <v>325</v>
      </c>
    </row>
    <row r="94" spans="1:32" x14ac:dyDescent="0.25">
      <c r="A94" s="22" t="s">
        <v>349</v>
      </c>
      <c r="B94" s="22" t="s">
        <v>350</v>
      </c>
      <c r="C94" s="22" t="s">
        <v>44</v>
      </c>
      <c r="D94" s="23">
        <v>0</v>
      </c>
      <c r="E94" s="24">
        <v>2000</v>
      </c>
      <c r="F94" s="24">
        <v>26000</v>
      </c>
      <c r="G94" s="24">
        <v>4000</v>
      </c>
      <c r="H94" s="24">
        <v>1000</v>
      </c>
      <c r="I94" s="24">
        <v>0</v>
      </c>
      <c r="J94" s="24">
        <f>(1-$D94)*E94</f>
        <v>2000</v>
      </c>
      <c r="K94" s="24">
        <f>(1-$D94)*F94</f>
        <v>26000</v>
      </c>
      <c r="L94" s="24">
        <f>G94</f>
        <v>4000</v>
      </c>
      <c r="M94" s="24">
        <f>(1-$D94)*H94</f>
        <v>1000</v>
      </c>
      <c r="N94" s="24">
        <f>(1-$D94)*I94</f>
        <v>0</v>
      </c>
      <c r="O94" s="24">
        <v>13380</v>
      </c>
      <c r="P94" s="24">
        <v>7550</v>
      </c>
      <c r="Q94" s="24">
        <v>16000</v>
      </c>
      <c r="R94" s="24">
        <v>8000</v>
      </c>
      <c r="S94" s="24">
        <v>7000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>SUM(J94:Y94)</f>
        <v>84930</v>
      </c>
      <c r="AA94" s="24">
        <v>0</v>
      </c>
      <c r="AB94" s="20">
        <f>Z94-AA94</f>
        <v>84930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4"/>
    </row>
    <row r="95" spans="1:32" x14ac:dyDescent="0.25">
      <c r="A95" s="22" t="s">
        <v>288</v>
      </c>
      <c r="B95" s="22" t="s">
        <v>290</v>
      </c>
      <c r="C95" s="22" t="s">
        <v>47</v>
      </c>
      <c r="D95" s="23">
        <v>0.25</v>
      </c>
      <c r="E95" s="24">
        <v>2000</v>
      </c>
      <c r="F95" s="24">
        <v>26000</v>
      </c>
      <c r="G95" s="24">
        <v>4000</v>
      </c>
      <c r="H95" s="24">
        <v>1000</v>
      </c>
      <c r="I95" s="24">
        <v>0</v>
      </c>
      <c r="J95" s="24">
        <f>(1-$D95)*E95</f>
        <v>1500</v>
      </c>
      <c r="K95" s="24">
        <f>(1-$D95)*F95</f>
        <v>19500</v>
      </c>
      <c r="L95" s="24">
        <f>G95</f>
        <v>4000</v>
      </c>
      <c r="M95" s="24">
        <f>(1-$D95)*H95</f>
        <v>750</v>
      </c>
      <c r="N95" s="24">
        <f>(1-$D95)*I95</f>
        <v>0</v>
      </c>
      <c r="O95" s="24">
        <v>24930</v>
      </c>
      <c r="P95" s="24">
        <v>10730</v>
      </c>
      <c r="Q95" s="24">
        <v>16000</v>
      </c>
      <c r="R95" s="24">
        <v>8000</v>
      </c>
      <c r="S95" s="24">
        <v>7000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92410</v>
      </c>
      <c r="AA95" s="24">
        <v>13670</v>
      </c>
      <c r="AB95" s="20">
        <f>Z95-AA95</f>
        <v>78740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5" t="s">
        <v>325</v>
      </c>
    </row>
    <row r="96" spans="1:32" x14ac:dyDescent="0.25">
      <c r="A96" s="22" t="s">
        <v>288</v>
      </c>
      <c r="B96" s="22" t="s">
        <v>289</v>
      </c>
      <c r="C96" s="22" t="s">
        <v>49</v>
      </c>
      <c r="D96" s="23">
        <v>0.25</v>
      </c>
      <c r="E96" s="24">
        <v>2000</v>
      </c>
      <c r="F96" s="24">
        <v>26000</v>
      </c>
      <c r="G96" s="24">
        <v>4000</v>
      </c>
      <c r="H96" s="24">
        <v>1000</v>
      </c>
      <c r="I96" s="24">
        <v>0</v>
      </c>
      <c r="J96" s="24">
        <f>(1-$D96)*E96</f>
        <v>1500</v>
      </c>
      <c r="K96" s="24">
        <f>(1-$D96)*F96</f>
        <v>19500</v>
      </c>
      <c r="L96" s="24">
        <f>G96</f>
        <v>4000</v>
      </c>
      <c r="M96" s="24">
        <f>(1-$D96)*H96</f>
        <v>750</v>
      </c>
      <c r="N96" s="24">
        <f>(1-$D96)*I96</f>
        <v>0</v>
      </c>
      <c r="O96" s="24">
        <v>6840</v>
      </c>
      <c r="P96" s="24">
        <v>5300</v>
      </c>
      <c r="Q96" s="24">
        <v>16000</v>
      </c>
      <c r="R96" s="24">
        <v>8000</v>
      </c>
      <c r="S96" s="24">
        <v>7000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68890</v>
      </c>
      <c r="AA96" s="24">
        <v>81330</v>
      </c>
      <c r="AB96" s="20">
        <f>Z96-AA96</f>
        <v>-12440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>
        <f>IF(($T96+$W96-$AB96)&gt;=$T96+8000,W96,"")</f>
        <v>0</v>
      </c>
      <c r="AF96" s="25" t="s">
        <v>326</v>
      </c>
    </row>
    <row r="97" spans="1:32" x14ac:dyDescent="0.25">
      <c r="A97" s="22" t="s">
        <v>95</v>
      </c>
      <c r="B97" s="22" t="s">
        <v>96</v>
      </c>
      <c r="C97" s="22" t="s">
        <v>52</v>
      </c>
      <c r="D97" s="23">
        <v>0</v>
      </c>
      <c r="E97" s="24">
        <v>0</v>
      </c>
      <c r="F97" s="24">
        <v>40000</v>
      </c>
      <c r="G97" s="24">
        <v>5000</v>
      </c>
      <c r="H97" s="24">
        <v>2000</v>
      </c>
      <c r="I97" s="24">
        <v>8000</v>
      </c>
      <c r="J97" s="24">
        <f>(1-$D97)*E97</f>
        <v>0</v>
      </c>
      <c r="K97" s="24">
        <f>(1-$D97)*F97</f>
        <v>40000</v>
      </c>
      <c r="L97" s="24">
        <f>G97</f>
        <v>5000</v>
      </c>
      <c r="M97" s="24">
        <f>(1-$D97)*H97</f>
        <v>2000</v>
      </c>
      <c r="N97" s="24">
        <f>(1-$D97)*I97</f>
        <v>8000</v>
      </c>
      <c r="O97" s="24">
        <v>11880</v>
      </c>
      <c r="P97" s="24">
        <v>14330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5830</v>
      </c>
      <c r="Z97" s="24">
        <f>SUM(J97:Y97)</f>
        <v>87040</v>
      </c>
      <c r="AA97" s="24">
        <v>0</v>
      </c>
      <c r="AB97" s="20">
        <f>Z97-AA97</f>
        <v>87040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  <c r="AF97" s="25" t="s">
        <v>325</v>
      </c>
    </row>
    <row r="98" spans="1:32" x14ac:dyDescent="0.25">
      <c r="A98" s="22" t="s">
        <v>98</v>
      </c>
      <c r="B98" s="22" t="s">
        <v>145</v>
      </c>
      <c r="C98" s="22" t="s">
        <v>49</v>
      </c>
      <c r="D98" s="23">
        <v>0.25</v>
      </c>
      <c r="E98" s="24">
        <v>0</v>
      </c>
      <c r="F98" s="24">
        <v>26000</v>
      </c>
      <c r="G98" s="24">
        <v>4000</v>
      </c>
      <c r="H98" s="24">
        <v>1000</v>
      </c>
      <c r="I98" s="24">
        <v>0</v>
      </c>
      <c r="J98" s="24">
        <f>(1-$D98)*E98</f>
        <v>0</v>
      </c>
      <c r="K98" s="24">
        <f>(1-$D98)*F98</f>
        <v>19500</v>
      </c>
      <c r="L98" s="24">
        <f>G98</f>
        <v>4000</v>
      </c>
      <c r="M98" s="24">
        <f>(1-$D98)*H98</f>
        <v>750</v>
      </c>
      <c r="N98" s="24">
        <f>(1-$D98)*I98</f>
        <v>0</v>
      </c>
      <c r="O98" s="24">
        <v>6840</v>
      </c>
      <c r="P98" s="24">
        <v>5300</v>
      </c>
      <c r="Q98" s="24">
        <v>16000</v>
      </c>
      <c r="R98" s="24">
        <v>8000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>SUM(J98:Y98)</f>
        <v>60390</v>
      </c>
      <c r="AA98" s="24">
        <v>0</v>
      </c>
      <c r="AB98" s="20">
        <f>Z98-AA98</f>
        <v>60390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">
        <v>325</v>
      </c>
    </row>
    <row r="99" spans="1:32" x14ac:dyDescent="0.25">
      <c r="A99" s="22" t="s">
        <v>98</v>
      </c>
      <c r="B99" s="22" t="s">
        <v>99</v>
      </c>
      <c r="C99" s="22" t="s">
        <v>33</v>
      </c>
      <c r="D99" s="23">
        <v>0.25</v>
      </c>
      <c r="E99" s="24">
        <v>0</v>
      </c>
      <c r="F99" s="24">
        <v>28000</v>
      </c>
      <c r="G99" s="24">
        <v>4000</v>
      </c>
      <c r="H99" s="24">
        <v>2500</v>
      </c>
      <c r="I99" s="24">
        <v>5000</v>
      </c>
      <c r="J99" s="24">
        <f>(1-$D99)*E99</f>
        <v>0</v>
      </c>
      <c r="K99" s="24">
        <f>(1-$D99)*F99</f>
        <v>21000</v>
      </c>
      <c r="L99" s="24">
        <f>G99</f>
        <v>4000</v>
      </c>
      <c r="M99" s="24">
        <f>(1-$D99)*H99</f>
        <v>1875</v>
      </c>
      <c r="N99" s="24">
        <f>(1-$D99)*I99</f>
        <v>3750</v>
      </c>
      <c r="O99" s="24">
        <v>25970</v>
      </c>
      <c r="P99" s="24">
        <v>11330</v>
      </c>
      <c r="Q99" s="24">
        <v>16000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>SUM(J99:Y99)</f>
        <v>83925</v>
      </c>
      <c r="AA99" s="24">
        <v>0</v>
      </c>
      <c r="AB99" s="20">
        <f>Z99-AA99</f>
        <v>83925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">
        <v>325</v>
      </c>
    </row>
    <row r="100" spans="1:32" x14ac:dyDescent="0.25">
      <c r="A100" s="22" t="s">
        <v>100</v>
      </c>
      <c r="B100" s="22" t="s">
        <v>101</v>
      </c>
      <c r="C100" s="22" t="s">
        <v>44</v>
      </c>
      <c r="D100" s="23">
        <v>0</v>
      </c>
      <c r="E100" s="24">
        <v>0</v>
      </c>
      <c r="F100" s="24">
        <v>26000</v>
      </c>
      <c r="G100" s="24">
        <v>4000</v>
      </c>
      <c r="H100" s="24">
        <v>0</v>
      </c>
      <c r="I100" s="24">
        <v>0</v>
      </c>
      <c r="J100" s="24">
        <f>(1-$D100)*E100</f>
        <v>0</v>
      </c>
      <c r="K100" s="24">
        <f>(1-$D100)*F100</f>
        <v>26000</v>
      </c>
      <c r="L100" s="24">
        <f>G100</f>
        <v>4000</v>
      </c>
      <c r="M100" s="24">
        <f>(1-$D100)*H100</f>
        <v>0</v>
      </c>
      <c r="N100" s="24">
        <f>(1-$D100)*I100</f>
        <v>0</v>
      </c>
      <c r="O100" s="24">
        <v>13380</v>
      </c>
      <c r="P100" s="24">
        <v>7550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-3030</v>
      </c>
      <c r="Z100" s="24">
        <f>SUM(J100:Y100)</f>
        <v>47900</v>
      </c>
      <c r="AA100" s="24">
        <v>27900</v>
      </c>
      <c r="AB100" s="20">
        <f>Z100-AA100</f>
        <v>20000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">
        <v>325</v>
      </c>
    </row>
    <row r="101" spans="1:32" x14ac:dyDescent="0.25">
      <c r="A101" s="22" t="s">
        <v>388</v>
      </c>
      <c r="B101" s="22" t="s">
        <v>389</v>
      </c>
      <c r="C101" s="22" t="s">
        <v>44</v>
      </c>
      <c r="D101" s="23">
        <v>0</v>
      </c>
      <c r="E101" s="24">
        <v>2000</v>
      </c>
      <c r="F101" s="24">
        <v>26000</v>
      </c>
      <c r="G101" s="24">
        <v>4000</v>
      </c>
      <c r="H101" s="24">
        <v>1000</v>
      </c>
      <c r="I101" s="24">
        <v>0</v>
      </c>
      <c r="J101" s="24">
        <f>(1-$D101)*E101</f>
        <v>2000</v>
      </c>
      <c r="K101" s="24">
        <f>(1-$D101)*F101</f>
        <v>26000</v>
      </c>
      <c r="L101" s="24">
        <f>G101</f>
        <v>4000</v>
      </c>
      <c r="M101" s="24">
        <f>(1-$D101)*H101</f>
        <v>1000</v>
      </c>
      <c r="N101" s="24">
        <f>(1-$D101)*I101</f>
        <v>0</v>
      </c>
      <c r="O101" s="24">
        <v>13380</v>
      </c>
      <c r="P101" s="24">
        <v>7550</v>
      </c>
      <c r="Q101" s="24">
        <v>16000</v>
      </c>
      <c r="R101" s="24">
        <v>8000</v>
      </c>
      <c r="S101" s="24">
        <v>7000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0</v>
      </c>
      <c r="Z101" s="24">
        <f>SUM(J101:Y101)</f>
        <v>84930</v>
      </c>
      <c r="AA101" s="24">
        <v>0</v>
      </c>
      <c r="AB101" s="20">
        <f>Z101-AA101</f>
        <v>84930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4"/>
    </row>
    <row r="102" spans="1:32" x14ac:dyDescent="0.25">
      <c r="A102" s="22" t="s">
        <v>204</v>
      </c>
      <c r="B102" s="22" t="s">
        <v>205</v>
      </c>
      <c r="C102" s="22" t="s">
        <v>49</v>
      </c>
      <c r="D102" s="23">
        <v>0.25</v>
      </c>
      <c r="E102" s="24">
        <v>0</v>
      </c>
      <c r="F102" s="24">
        <v>26000</v>
      </c>
      <c r="G102" s="24">
        <v>4000</v>
      </c>
      <c r="H102" s="24">
        <v>1000</v>
      </c>
      <c r="I102" s="24">
        <v>0</v>
      </c>
      <c r="J102" s="24">
        <f>(1-$D102)*E102</f>
        <v>0</v>
      </c>
      <c r="K102" s="24">
        <f>(1-$D102)*F102</f>
        <v>19500</v>
      </c>
      <c r="L102" s="24">
        <f>G102</f>
        <v>4000</v>
      </c>
      <c r="M102" s="24">
        <f>(1-$D102)*H102</f>
        <v>750</v>
      </c>
      <c r="N102" s="24">
        <f>(1-$D102)*I102</f>
        <v>0</v>
      </c>
      <c r="O102" s="24">
        <v>6840</v>
      </c>
      <c r="P102" s="24">
        <v>5300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3500</v>
      </c>
      <c r="Z102" s="24">
        <f>SUM(J102:Y102)</f>
        <v>39890</v>
      </c>
      <c r="AA102" s="24">
        <v>0</v>
      </c>
      <c r="AB102" s="20">
        <f>Z102-AA102</f>
        <v>39890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5" t="s">
        <v>325</v>
      </c>
    </row>
    <row r="103" spans="1:32" x14ac:dyDescent="0.25">
      <c r="A103" s="22" t="s">
        <v>146</v>
      </c>
      <c r="B103" s="22" t="s">
        <v>147</v>
      </c>
      <c r="C103" s="22" t="s">
        <v>44</v>
      </c>
      <c r="D103" s="23">
        <v>0</v>
      </c>
      <c r="E103" s="24">
        <v>0</v>
      </c>
      <c r="F103" s="24">
        <v>26000</v>
      </c>
      <c r="G103" s="24">
        <v>4000</v>
      </c>
      <c r="H103" s="24">
        <v>0</v>
      </c>
      <c r="I103" s="24">
        <v>0</v>
      </c>
      <c r="J103" s="24">
        <f>(1-$D103)*E103</f>
        <v>0</v>
      </c>
      <c r="K103" s="24">
        <f>(1-$D103)*F103</f>
        <v>26000</v>
      </c>
      <c r="L103" s="24">
        <f>G103</f>
        <v>4000</v>
      </c>
      <c r="M103" s="24">
        <f>(1-$D103)*H103</f>
        <v>0</v>
      </c>
      <c r="N103" s="24">
        <f>(1-$D103)*I103</f>
        <v>0</v>
      </c>
      <c r="O103" s="24">
        <v>13380</v>
      </c>
      <c r="P103" s="24">
        <v>4850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>SUM(J103:Y103)</f>
        <v>54230</v>
      </c>
      <c r="AA103" s="24">
        <v>44700</v>
      </c>
      <c r="AB103" s="20">
        <f>Z103-AA103</f>
        <v>9530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">
        <v>325</v>
      </c>
    </row>
    <row r="104" spans="1:32" x14ac:dyDescent="0.25">
      <c r="A104" s="22" t="s">
        <v>102</v>
      </c>
      <c r="B104" s="22" t="s">
        <v>104</v>
      </c>
      <c r="C104" s="22" t="s">
        <v>44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>(1-$D104)*E104</f>
        <v>0</v>
      </c>
      <c r="K104" s="24">
        <f>(1-$D104)*F104</f>
        <v>19500</v>
      </c>
      <c r="L104" s="24">
        <f>G104</f>
        <v>4000</v>
      </c>
      <c r="M104" s="24">
        <f>(1-$D104)*H104</f>
        <v>0</v>
      </c>
      <c r="N104" s="24">
        <f>(1-$D104)*I104</f>
        <v>0</v>
      </c>
      <c r="O104" s="24">
        <v>13380</v>
      </c>
      <c r="P104" s="24">
        <v>7550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50430</v>
      </c>
      <c r="AA104" s="24">
        <v>0</v>
      </c>
      <c r="AB104" s="20">
        <f>Z104-AA104</f>
        <v>50430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">
        <v>325</v>
      </c>
    </row>
    <row r="105" spans="1:32" x14ac:dyDescent="0.25">
      <c r="A105" s="22" t="s">
        <v>102</v>
      </c>
      <c r="B105" s="22" t="s">
        <v>103</v>
      </c>
      <c r="C105" s="22" t="s">
        <v>33</v>
      </c>
      <c r="D105" s="23">
        <v>0.25</v>
      </c>
      <c r="E105" s="24">
        <v>0</v>
      </c>
      <c r="F105" s="24">
        <v>28000</v>
      </c>
      <c r="G105" s="24">
        <v>4000</v>
      </c>
      <c r="H105" s="24">
        <v>2500</v>
      </c>
      <c r="I105" s="24">
        <v>5000</v>
      </c>
      <c r="J105" s="24">
        <f>(1-$D105)*E105</f>
        <v>0</v>
      </c>
      <c r="K105" s="24">
        <f>(1-$D105)*F105</f>
        <v>21000</v>
      </c>
      <c r="L105" s="24">
        <f>G105</f>
        <v>4000</v>
      </c>
      <c r="M105" s="24">
        <f>(1-$D105)*H105</f>
        <v>1875</v>
      </c>
      <c r="N105" s="24">
        <f>(1-$D105)*I105</f>
        <v>3750</v>
      </c>
      <c r="O105" s="24">
        <v>25970</v>
      </c>
      <c r="P105" s="24">
        <v>11330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73925</v>
      </c>
      <c r="AA105" s="24">
        <v>0</v>
      </c>
      <c r="AB105" s="20">
        <f>Z105-AA105</f>
        <v>73925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">
        <v>325</v>
      </c>
    </row>
    <row r="106" spans="1:32" x14ac:dyDescent="0.25">
      <c r="A106" s="22" t="s">
        <v>102</v>
      </c>
      <c r="B106" s="22" t="s">
        <v>105</v>
      </c>
      <c r="C106" s="22" t="s">
        <v>46</v>
      </c>
      <c r="D106" s="23">
        <v>0.25</v>
      </c>
      <c r="E106" s="24">
        <v>0</v>
      </c>
      <c r="F106" s="24">
        <v>28000</v>
      </c>
      <c r="G106" s="24">
        <v>4000</v>
      </c>
      <c r="H106" s="24">
        <v>0</v>
      </c>
      <c r="I106" s="24">
        <v>5000</v>
      </c>
      <c r="J106" s="24">
        <f>(1-$D106)*E106</f>
        <v>0</v>
      </c>
      <c r="K106" s="24">
        <f>(1-$D106)*F106</f>
        <v>21000</v>
      </c>
      <c r="L106" s="24">
        <f>G106</f>
        <v>4000</v>
      </c>
      <c r="M106" s="24">
        <f>(1-$D106)*H106</f>
        <v>0</v>
      </c>
      <c r="N106" s="24">
        <f>(1-$D106)*I106</f>
        <v>3750</v>
      </c>
      <c r="O106" s="24">
        <v>27310</v>
      </c>
      <c r="P106" s="24">
        <v>13230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75290</v>
      </c>
      <c r="AA106" s="24">
        <v>0</v>
      </c>
      <c r="AB106" s="20">
        <f>Z106-AA106</f>
        <v>75290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">
        <v>325</v>
      </c>
    </row>
    <row r="107" spans="1:32" x14ac:dyDescent="0.25">
      <c r="A107" s="22" t="s">
        <v>106</v>
      </c>
      <c r="B107" s="22" t="s">
        <v>45</v>
      </c>
      <c r="C107" s="22" t="s">
        <v>33</v>
      </c>
      <c r="D107" s="23">
        <v>0</v>
      </c>
      <c r="E107" s="24">
        <v>0</v>
      </c>
      <c r="F107" s="24">
        <v>28000</v>
      </c>
      <c r="G107" s="24">
        <v>4000</v>
      </c>
      <c r="H107" s="24">
        <v>2500</v>
      </c>
      <c r="I107" s="24">
        <v>5000</v>
      </c>
      <c r="J107" s="24">
        <f>(1-$D107)*E107</f>
        <v>0</v>
      </c>
      <c r="K107" s="24">
        <f>(1-$D107)*F107</f>
        <v>28000</v>
      </c>
      <c r="L107" s="24">
        <f>G107</f>
        <v>4000</v>
      </c>
      <c r="M107" s="24">
        <f>(1-$D107)*H107</f>
        <v>2500</v>
      </c>
      <c r="N107" s="24">
        <f>(1-$D107)*I107</f>
        <v>5000</v>
      </c>
      <c r="O107" s="24">
        <v>25970</v>
      </c>
      <c r="P107" s="24">
        <v>11330</v>
      </c>
      <c r="Q107" s="24">
        <v>0</v>
      </c>
      <c r="R107" s="24">
        <v>0</v>
      </c>
      <c r="S107" s="24">
        <v>0</v>
      </c>
      <c r="T107" s="24">
        <v>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76800</v>
      </c>
      <c r="AA107" s="24">
        <v>0</v>
      </c>
      <c r="AB107" s="20">
        <f>Z107-AA107</f>
        <v>76800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">
        <v>325</v>
      </c>
    </row>
    <row r="108" spans="1:32" x14ac:dyDescent="0.25">
      <c r="A108" s="22" t="s">
        <v>107</v>
      </c>
      <c r="B108" s="22" t="s">
        <v>108</v>
      </c>
      <c r="C108" s="22" t="s">
        <v>59</v>
      </c>
      <c r="D108" s="23">
        <v>1</v>
      </c>
      <c r="E108" s="24">
        <v>0</v>
      </c>
      <c r="F108" s="24">
        <v>28000</v>
      </c>
      <c r="G108" s="24">
        <v>4000</v>
      </c>
      <c r="H108" s="24">
        <v>0</v>
      </c>
      <c r="I108" s="24">
        <v>5000</v>
      </c>
      <c r="J108" s="24">
        <f>(1-$D108)*E108</f>
        <v>0</v>
      </c>
      <c r="K108" s="24">
        <f>(1-$D108)*F108</f>
        <v>0</v>
      </c>
      <c r="L108" s="24">
        <f>G108</f>
        <v>4000</v>
      </c>
      <c r="M108" s="24">
        <f>(1-$D108)*H108</f>
        <v>0</v>
      </c>
      <c r="N108" s="24">
        <f>(1-$D108)*I108</f>
        <v>0</v>
      </c>
      <c r="O108" s="24">
        <v>27330</v>
      </c>
      <c r="P108" s="24">
        <v>13230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50560</v>
      </c>
      <c r="AA108" s="24">
        <v>0</v>
      </c>
      <c r="AB108" s="20">
        <f>Z108-AA108</f>
        <v>50560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">
        <v>325</v>
      </c>
    </row>
    <row r="109" spans="1:32" x14ac:dyDescent="0.25">
      <c r="A109" s="22" t="s">
        <v>109</v>
      </c>
      <c r="B109" s="22" t="s">
        <v>164</v>
      </c>
      <c r="C109" s="22" t="s">
        <v>30</v>
      </c>
      <c r="D109" s="23">
        <v>0.25</v>
      </c>
      <c r="E109" s="24">
        <v>0</v>
      </c>
      <c r="F109" s="24">
        <v>26000</v>
      </c>
      <c r="G109" s="24">
        <v>4000</v>
      </c>
      <c r="H109" s="24">
        <v>1000</v>
      </c>
      <c r="I109" s="24">
        <v>0</v>
      </c>
      <c r="J109" s="24">
        <f>(1-$D109)*E109</f>
        <v>0</v>
      </c>
      <c r="K109" s="24">
        <f>(1-$D109)*F109</f>
        <v>19500</v>
      </c>
      <c r="L109" s="24">
        <f>G109</f>
        <v>4000</v>
      </c>
      <c r="M109" s="24">
        <f>(1-$D109)*H109</f>
        <v>750</v>
      </c>
      <c r="N109" s="24">
        <f>(1-$D109)*I109</f>
        <v>0</v>
      </c>
      <c r="O109" s="24">
        <v>12480</v>
      </c>
      <c r="P109" s="24">
        <v>7550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65</v>
      </c>
      <c r="Z109" s="24">
        <f>SUM(J109:Y109)</f>
        <v>50345</v>
      </c>
      <c r="AA109" s="24">
        <v>50345</v>
      </c>
      <c r="AB109" s="20">
        <f>Z109-AA109</f>
        <v>0</v>
      </c>
      <c r="AC109" s="24">
        <f>IF(AND($T109=6000, ($T109+$W109-$AB109)&gt;=6000),T109,"")</f>
        <v>6000</v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">
        <v>325</v>
      </c>
    </row>
    <row r="110" spans="1:32" x14ac:dyDescent="0.25">
      <c r="A110" s="22" t="s">
        <v>109</v>
      </c>
      <c r="B110" s="22" t="s">
        <v>110</v>
      </c>
      <c r="C110" s="22" t="s">
        <v>33</v>
      </c>
      <c r="D110" s="23">
        <v>0.25</v>
      </c>
      <c r="E110" s="24">
        <v>0</v>
      </c>
      <c r="F110" s="24">
        <v>28000</v>
      </c>
      <c r="G110" s="24">
        <v>4000</v>
      </c>
      <c r="H110" s="24">
        <v>2500</v>
      </c>
      <c r="I110" s="24">
        <v>5000</v>
      </c>
      <c r="J110" s="24">
        <f>(1-$D110)*E110</f>
        <v>0</v>
      </c>
      <c r="K110" s="24">
        <f>(1-$D110)*F110</f>
        <v>21000</v>
      </c>
      <c r="L110" s="24">
        <f>G110</f>
        <v>4000</v>
      </c>
      <c r="M110" s="24">
        <f>(1-$D110)*H110</f>
        <v>1875</v>
      </c>
      <c r="N110" s="24">
        <f>(1-$D110)*I110</f>
        <v>3750</v>
      </c>
      <c r="O110" s="24">
        <v>25970</v>
      </c>
      <c r="P110" s="24">
        <v>11330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>SUM(J110:Y110)</f>
        <v>73925</v>
      </c>
      <c r="AA110" s="24">
        <v>73925</v>
      </c>
      <c r="AB110" s="20">
        <f>Z110-AA110</f>
        <v>0</v>
      </c>
      <c r="AC110" s="24">
        <f>IF(AND($T110=6000, ($T110+$W110-$AB110)&gt;=6000),T110,"")</f>
        <v>6000</v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">
        <v>325</v>
      </c>
    </row>
    <row r="111" spans="1:32" x14ac:dyDescent="0.25">
      <c r="A111" s="22" t="s">
        <v>111</v>
      </c>
      <c r="B111" s="22" t="s">
        <v>112</v>
      </c>
      <c r="C111" s="22" t="s">
        <v>67</v>
      </c>
      <c r="D111" s="23">
        <v>0.3</v>
      </c>
      <c r="E111" s="24">
        <v>0</v>
      </c>
      <c r="F111" s="24">
        <v>33000</v>
      </c>
      <c r="G111" s="24">
        <v>5000</v>
      </c>
      <c r="H111" s="24">
        <v>2000</v>
      </c>
      <c r="I111" s="24">
        <v>6000</v>
      </c>
      <c r="J111" s="24">
        <f>(1-$D111)*E111</f>
        <v>0</v>
      </c>
      <c r="K111" s="24">
        <f>(1-$D111)*F111</f>
        <v>23100</v>
      </c>
      <c r="L111" s="24">
        <f>G111</f>
        <v>5000</v>
      </c>
      <c r="M111" s="24">
        <f>(1-$D111)*H111</f>
        <v>1400</v>
      </c>
      <c r="N111" s="24">
        <f>(1-$D111)*I111</f>
        <v>4200</v>
      </c>
      <c r="O111" s="24">
        <v>22400</v>
      </c>
      <c r="P111" s="24">
        <v>14330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70430</v>
      </c>
      <c r="AA111" s="24">
        <v>0</v>
      </c>
      <c r="AB111" s="20">
        <f>Z111-AA111</f>
        <v>70430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">
        <v>325</v>
      </c>
    </row>
    <row r="112" spans="1:32" x14ac:dyDescent="0.25">
      <c r="A112" s="22" t="s">
        <v>211</v>
      </c>
      <c r="B112" s="22" t="s">
        <v>212</v>
      </c>
      <c r="C112" s="22" t="s">
        <v>49</v>
      </c>
      <c r="D112" s="23">
        <v>0.05</v>
      </c>
      <c r="E112" s="24">
        <v>0</v>
      </c>
      <c r="F112" s="24">
        <v>26000</v>
      </c>
      <c r="G112" s="24">
        <v>4000</v>
      </c>
      <c r="H112" s="24">
        <v>1000</v>
      </c>
      <c r="I112" s="24">
        <v>0</v>
      </c>
      <c r="J112" s="24">
        <f>(1-$D112)*E112</f>
        <v>0</v>
      </c>
      <c r="K112" s="24">
        <f>(1-$D112)*F112</f>
        <v>24700</v>
      </c>
      <c r="L112" s="24">
        <f>G112</f>
        <v>4000</v>
      </c>
      <c r="M112" s="24">
        <f>(1-$D112)*H112</f>
        <v>950</v>
      </c>
      <c r="N112" s="24">
        <f>(1-$D112)*I112</f>
        <v>0</v>
      </c>
      <c r="O112" s="24">
        <v>6840</v>
      </c>
      <c r="P112" s="24">
        <v>5300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-10000</v>
      </c>
      <c r="Z112" s="24">
        <f>SUM(J112:Y112)</f>
        <v>31790</v>
      </c>
      <c r="AA112" s="24">
        <v>33140</v>
      </c>
      <c r="AB112" s="20">
        <f>Z112-AA112</f>
        <v>-1350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">
        <v>326</v>
      </c>
    </row>
    <row r="113" spans="1:32" x14ac:dyDescent="0.25">
      <c r="A113" s="22" t="s">
        <v>113</v>
      </c>
      <c r="B113" s="22" t="s">
        <v>115</v>
      </c>
      <c r="C113" s="22" t="s">
        <v>44</v>
      </c>
      <c r="D113" s="23">
        <v>0.5</v>
      </c>
      <c r="E113" s="24">
        <v>0</v>
      </c>
      <c r="F113" s="24">
        <v>26000</v>
      </c>
      <c r="G113" s="24">
        <v>4000</v>
      </c>
      <c r="H113" s="24">
        <v>0</v>
      </c>
      <c r="I113" s="24">
        <v>0</v>
      </c>
      <c r="J113" s="24">
        <f>(1-$D113)*E113</f>
        <v>0</v>
      </c>
      <c r="K113" s="24">
        <f>(1-$D113)*F113</f>
        <v>13000</v>
      </c>
      <c r="L113" s="24">
        <f>G113</f>
        <v>4000</v>
      </c>
      <c r="M113" s="24">
        <f>(1-$D113)*H113</f>
        <v>0</v>
      </c>
      <c r="N113" s="24">
        <f>(1-$D113)*I113</f>
        <v>0</v>
      </c>
      <c r="O113" s="24">
        <v>13380</v>
      </c>
      <c r="P113" s="24">
        <v>7550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8000</v>
      </c>
      <c r="Z113" s="24">
        <f>SUM(J113:Y113)</f>
        <v>45930</v>
      </c>
      <c r="AA113" s="24">
        <v>0</v>
      </c>
      <c r="AB113" s="20">
        <f>Z113-AA113</f>
        <v>45930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">
        <v>325</v>
      </c>
    </row>
    <row r="114" spans="1:32" x14ac:dyDescent="0.25">
      <c r="A114" s="22" t="s">
        <v>113</v>
      </c>
      <c r="B114" s="22" t="s">
        <v>114</v>
      </c>
      <c r="C114" s="22" t="s">
        <v>48</v>
      </c>
      <c r="D114" s="23">
        <v>0.5</v>
      </c>
      <c r="E114" s="24">
        <v>0</v>
      </c>
      <c r="F114" s="24">
        <v>28000</v>
      </c>
      <c r="G114" s="24">
        <v>4000</v>
      </c>
      <c r="H114" s="24">
        <v>0</v>
      </c>
      <c r="I114" s="24">
        <v>5000</v>
      </c>
      <c r="J114" s="24">
        <f>(1-$D114)*E114</f>
        <v>0</v>
      </c>
      <c r="K114" s="24">
        <f>(1-$D114)*F114</f>
        <v>14000</v>
      </c>
      <c r="L114" s="24">
        <f>G114</f>
        <v>4000</v>
      </c>
      <c r="M114" s="24">
        <f>(1-$D114)*H114</f>
        <v>0</v>
      </c>
      <c r="N114" s="24">
        <f>(1-$D114)*I114</f>
        <v>2500</v>
      </c>
      <c r="O114" s="24">
        <v>26150</v>
      </c>
      <c r="P114" s="24">
        <v>11330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>SUM(J114:Y114)</f>
        <v>57980</v>
      </c>
      <c r="AA114" s="24">
        <v>0</v>
      </c>
      <c r="AB114" s="20">
        <f>Z114-AA114</f>
        <v>57980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">
        <v>325</v>
      </c>
    </row>
    <row r="115" spans="1:32" x14ac:dyDescent="0.25">
      <c r="A115" s="22" t="s">
        <v>392</v>
      </c>
      <c r="B115" s="22" t="s">
        <v>393</v>
      </c>
      <c r="C115" s="22" t="s">
        <v>47</v>
      </c>
      <c r="D115" s="23">
        <v>0</v>
      </c>
      <c r="E115" s="24">
        <v>2000</v>
      </c>
      <c r="F115" s="24">
        <v>26000</v>
      </c>
      <c r="G115" s="24">
        <v>4000</v>
      </c>
      <c r="H115" s="24">
        <v>1000</v>
      </c>
      <c r="I115" s="24">
        <v>0</v>
      </c>
      <c r="J115" s="24">
        <f>(1-$D115)*E115</f>
        <v>2000</v>
      </c>
      <c r="K115" s="24">
        <f>(1-$D115)*F115</f>
        <v>26000</v>
      </c>
      <c r="L115" s="24">
        <f>G115</f>
        <v>4000</v>
      </c>
      <c r="M115" s="24">
        <f>(1-$D115)*H115</f>
        <v>1000</v>
      </c>
      <c r="N115" s="24">
        <f>(1-$D115)*I115</f>
        <v>0</v>
      </c>
      <c r="O115" s="24">
        <v>24930</v>
      </c>
      <c r="P115" s="24">
        <v>10730</v>
      </c>
      <c r="Q115" s="24">
        <v>16000</v>
      </c>
      <c r="R115" s="24">
        <v>8000</v>
      </c>
      <c r="S115" s="24">
        <v>7000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>SUM(J115:Y115)</f>
        <v>99660</v>
      </c>
      <c r="AA115" s="24">
        <v>80000</v>
      </c>
      <c r="AB115" s="20">
        <f>Z115-AA115</f>
        <v>19660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">
        <v>325</v>
      </c>
    </row>
    <row r="116" spans="1:32" x14ac:dyDescent="0.25">
      <c r="A116" s="22" t="s">
        <v>116</v>
      </c>
      <c r="B116" s="22" t="s">
        <v>117</v>
      </c>
      <c r="C116" s="22" t="s">
        <v>67</v>
      </c>
      <c r="D116" s="23">
        <v>0.5</v>
      </c>
      <c r="E116" s="24">
        <v>0</v>
      </c>
      <c r="F116" s="24">
        <v>33000</v>
      </c>
      <c r="G116" s="24">
        <v>5000</v>
      </c>
      <c r="H116" s="24">
        <v>2000</v>
      </c>
      <c r="I116" s="24">
        <v>6000</v>
      </c>
      <c r="J116" s="24">
        <f>(1-$D116)*E116</f>
        <v>0</v>
      </c>
      <c r="K116" s="24">
        <f>(1-$D116)*F116</f>
        <v>16500</v>
      </c>
      <c r="L116" s="24">
        <f>G116</f>
        <v>5000</v>
      </c>
      <c r="M116" s="24">
        <f>(1-$D116)*H116</f>
        <v>1000</v>
      </c>
      <c r="N116" s="24">
        <f>(1-$D116)*I116</f>
        <v>3000</v>
      </c>
      <c r="O116" s="24">
        <v>22400</v>
      </c>
      <c r="P116" s="24">
        <v>14330</v>
      </c>
      <c r="Q116" s="24">
        <v>0</v>
      </c>
      <c r="R116" s="24">
        <v>0</v>
      </c>
      <c r="S116" s="24">
        <v>0</v>
      </c>
      <c r="T116" s="24">
        <v>8000</v>
      </c>
      <c r="U116" s="24">
        <v>0</v>
      </c>
      <c r="V116" s="24">
        <v>0</v>
      </c>
      <c r="W116" s="24">
        <v>0</v>
      </c>
      <c r="X116" s="24">
        <v>0</v>
      </c>
      <c r="Y116" s="24">
        <v>-3145</v>
      </c>
      <c r="Z116" s="24">
        <f>SUM(J116:Y116)</f>
        <v>67085</v>
      </c>
      <c r="AA116" s="24">
        <v>0</v>
      </c>
      <c r="AB116" s="20">
        <f>Z116-AA116</f>
        <v>67085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">
        <v>325</v>
      </c>
    </row>
    <row r="117" spans="1:32" x14ac:dyDescent="0.25">
      <c r="A117" s="22" t="s">
        <v>118</v>
      </c>
      <c r="B117" s="22" t="s">
        <v>119</v>
      </c>
      <c r="C117" s="22" t="s">
        <v>44</v>
      </c>
      <c r="D117" s="23">
        <v>0.25</v>
      </c>
      <c r="E117" s="24">
        <v>0</v>
      </c>
      <c r="F117" s="24">
        <v>26000</v>
      </c>
      <c r="G117" s="24">
        <v>4000</v>
      </c>
      <c r="H117" s="24">
        <v>0</v>
      </c>
      <c r="I117" s="24">
        <v>0</v>
      </c>
      <c r="J117" s="24">
        <f>(1-$D117)*E117</f>
        <v>0</v>
      </c>
      <c r="K117" s="24">
        <f>(1-$D117)*F117</f>
        <v>19500</v>
      </c>
      <c r="L117" s="24">
        <f>G117</f>
        <v>4000</v>
      </c>
      <c r="M117" s="24">
        <f>(1-$D117)*H117</f>
        <v>0</v>
      </c>
      <c r="N117" s="24">
        <f>(1-$D117)*I117</f>
        <v>0</v>
      </c>
      <c r="O117" s="24">
        <v>13380</v>
      </c>
      <c r="P117" s="24">
        <v>5300</v>
      </c>
      <c r="Q117" s="24">
        <v>8000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50180</v>
      </c>
      <c r="AA117" s="24">
        <v>0</v>
      </c>
      <c r="AB117" s="20">
        <f>Z117-AA117</f>
        <v>50180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">
        <v>325</v>
      </c>
    </row>
    <row r="118" spans="1:32" x14ac:dyDescent="0.25">
      <c r="A118" s="22" t="s">
        <v>118</v>
      </c>
      <c r="B118" s="22" t="s">
        <v>120</v>
      </c>
      <c r="C118" s="22" t="s">
        <v>46</v>
      </c>
      <c r="D118" s="23">
        <v>0.25</v>
      </c>
      <c r="E118" s="24">
        <v>0</v>
      </c>
      <c r="F118" s="24">
        <v>28000</v>
      </c>
      <c r="G118" s="24">
        <v>4000</v>
      </c>
      <c r="H118" s="24">
        <v>0</v>
      </c>
      <c r="I118" s="24">
        <v>5000</v>
      </c>
      <c r="J118" s="24">
        <f>(1-$D118)*E118</f>
        <v>0</v>
      </c>
      <c r="K118" s="24">
        <f>(1-$D118)*F118</f>
        <v>21000</v>
      </c>
      <c r="L118" s="24">
        <f>G118</f>
        <v>4000</v>
      </c>
      <c r="M118" s="24">
        <f>(1-$D118)*H118</f>
        <v>0</v>
      </c>
      <c r="N118" s="24">
        <f>(1-$D118)*I118</f>
        <v>3750</v>
      </c>
      <c r="O118" s="24">
        <v>27310</v>
      </c>
      <c r="P118" s="24">
        <v>8250</v>
      </c>
      <c r="Q118" s="24">
        <v>8000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>SUM(J118:Y118)</f>
        <v>72310</v>
      </c>
      <c r="AA118" s="24">
        <v>0</v>
      </c>
      <c r="AB118" s="20">
        <f>Z118-AA118</f>
        <v>72310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">
        <v>325</v>
      </c>
    </row>
    <row r="119" spans="1:32" x14ac:dyDescent="0.25">
      <c r="A119" s="22" t="s">
        <v>198</v>
      </c>
      <c r="B119" s="22" t="s">
        <v>31</v>
      </c>
      <c r="C119" s="22" t="s">
        <v>47</v>
      </c>
      <c r="D119" s="23">
        <v>0.25</v>
      </c>
      <c r="E119" s="24">
        <v>0</v>
      </c>
      <c r="F119" s="24">
        <v>26000</v>
      </c>
      <c r="G119" s="24">
        <v>4000</v>
      </c>
      <c r="H119" s="24">
        <v>0</v>
      </c>
      <c r="I119" s="24">
        <v>0</v>
      </c>
      <c r="J119" s="24">
        <f>(1-$D119)*E119</f>
        <v>0</v>
      </c>
      <c r="K119" s="24">
        <f>(1-$D119)*F119</f>
        <v>19500</v>
      </c>
      <c r="L119" s="24">
        <f>G119</f>
        <v>4000</v>
      </c>
      <c r="M119" s="24">
        <f>(1-$D119)*H119</f>
        <v>0</v>
      </c>
      <c r="N119" s="24">
        <f>(1-$D119)*I119</f>
        <v>0</v>
      </c>
      <c r="O119" s="24">
        <v>24930</v>
      </c>
      <c r="P119" s="24">
        <v>10730</v>
      </c>
      <c r="Q119" s="24">
        <v>0</v>
      </c>
      <c r="R119" s="24">
        <v>0</v>
      </c>
      <c r="S119" s="24">
        <v>0</v>
      </c>
      <c r="T119" s="24">
        <v>6000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65160</v>
      </c>
      <c r="AA119" s="24">
        <v>0</v>
      </c>
      <c r="AB119" s="20">
        <f>Z119-AA119</f>
        <v>65160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">
        <v>325</v>
      </c>
    </row>
    <row r="120" spans="1:32" x14ac:dyDescent="0.25">
      <c r="A120" s="22" t="s">
        <v>198</v>
      </c>
      <c r="B120" s="22" t="s">
        <v>32</v>
      </c>
      <c r="C120" s="22" t="s">
        <v>46</v>
      </c>
      <c r="D120" s="23">
        <v>0.25</v>
      </c>
      <c r="E120" s="24">
        <v>0</v>
      </c>
      <c r="F120" s="24">
        <v>28000</v>
      </c>
      <c r="G120" s="24">
        <v>4000</v>
      </c>
      <c r="H120" s="24">
        <v>0</v>
      </c>
      <c r="I120" s="24">
        <v>5000</v>
      </c>
      <c r="J120" s="24">
        <f>(1-$D120)*E120</f>
        <v>0</v>
      </c>
      <c r="K120" s="24">
        <f>(1-$D120)*F120</f>
        <v>21000</v>
      </c>
      <c r="L120" s="24">
        <f>G120</f>
        <v>4000</v>
      </c>
      <c r="M120" s="24">
        <f>(1-$D120)*H120</f>
        <v>0</v>
      </c>
      <c r="N120" s="24">
        <f>(1-$D120)*I120</f>
        <v>3750</v>
      </c>
      <c r="O120" s="24">
        <v>27310</v>
      </c>
      <c r="P120" s="24">
        <v>13230</v>
      </c>
      <c r="Q120" s="24">
        <v>0</v>
      </c>
      <c r="R120" s="24">
        <v>0</v>
      </c>
      <c r="S120" s="24">
        <v>0</v>
      </c>
      <c r="T120" s="24">
        <v>6000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>SUM(J120:Y120)</f>
        <v>75290</v>
      </c>
      <c r="AA120" s="24">
        <v>0</v>
      </c>
      <c r="AB120" s="20">
        <f>Z120-AA120</f>
        <v>75290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">
        <v>325</v>
      </c>
    </row>
    <row r="121" spans="1:32" x14ac:dyDescent="0.25">
      <c r="A121" s="22" t="s">
        <v>121</v>
      </c>
      <c r="B121" s="22" t="s">
        <v>242</v>
      </c>
      <c r="C121" s="22" t="s">
        <v>252</v>
      </c>
      <c r="D121" s="23">
        <v>0.25</v>
      </c>
      <c r="E121" s="24">
        <v>0</v>
      </c>
      <c r="F121" s="24">
        <v>26000</v>
      </c>
      <c r="G121" s="24">
        <v>2000</v>
      </c>
      <c r="H121" s="24">
        <v>0</v>
      </c>
      <c r="I121" s="24">
        <v>0</v>
      </c>
      <c r="J121" s="24">
        <f>(1-$D121)*E121</f>
        <v>0</v>
      </c>
      <c r="K121" s="24">
        <f>(1-$D121)*F121</f>
        <v>19500</v>
      </c>
      <c r="L121" s="24">
        <f>G121</f>
        <v>2000</v>
      </c>
      <c r="M121" s="24">
        <f>(1-$D121)*H121</f>
        <v>0</v>
      </c>
      <c r="N121" s="24">
        <f>(1-$D121)*I121</f>
        <v>0</v>
      </c>
      <c r="O121" s="24">
        <v>0</v>
      </c>
      <c r="P121" s="24">
        <v>3050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24550</v>
      </c>
      <c r="AA121" s="24">
        <v>0</v>
      </c>
      <c r="AB121" s="20">
        <f>Z121-AA121</f>
        <v>24550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">
        <v>325</v>
      </c>
    </row>
    <row r="122" spans="1:32" x14ac:dyDescent="0.25">
      <c r="A122" s="22" t="s">
        <v>121</v>
      </c>
      <c r="B122" s="22" t="s">
        <v>122</v>
      </c>
      <c r="C122" s="22" t="s">
        <v>47</v>
      </c>
      <c r="D122" s="23">
        <v>0.25</v>
      </c>
      <c r="E122" s="24">
        <v>0</v>
      </c>
      <c r="F122" s="24">
        <v>26000</v>
      </c>
      <c r="G122" s="24">
        <v>4000</v>
      </c>
      <c r="H122" s="24">
        <v>0</v>
      </c>
      <c r="I122" s="24">
        <v>0</v>
      </c>
      <c r="J122" s="24">
        <f>(1-$D122)*E122</f>
        <v>0</v>
      </c>
      <c r="K122" s="24">
        <f>(1-$D122)*F122</f>
        <v>19500</v>
      </c>
      <c r="L122" s="24">
        <f>G122</f>
        <v>4000</v>
      </c>
      <c r="M122" s="24">
        <f>(1-$D122)*H122</f>
        <v>0</v>
      </c>
      <c r="N122" s="24">
        <f>(1-$D122)*I122</f>
        <v>0</v>
      </c>
      <c r="O122" s="24">
        <v>24930</v>
      </c>
      <c r="P122" s="24">
        <v>10730</v>
      </c>
      <c r="Q122" s="24">
        <v>0</v>
      </c>
      <c r="R122" s="24">
        <v>0</v>
      </c>
      <c r="S122" s="24">
        <v>0</v>
      </c>
      <c r="T122" s="24">
        <v>6000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65160</v>
      </c>
      <c r="AA122" s="24">
        <v>0</v>
      </c>
      <c r="AB122" s="20">
        <f>Z122-AA122</f>
        <v>65160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">
        <v>325</v>
      </c>
    </row>
    <row r="123" spans="1:32" x14ac:dyDescent="0.25">
      <c r="A123" s="22" t="s">
        <v>358</v>
      </c>
      <c r="B123" s="22" t="s">
        <v>359</v>
      </c>
      <c r="C123" s="22" t="s">
        <v>252</v>
      </c>
      <c r="D123" s="23">
        <v>0</v>
      </c>
      <c r="E123" s="24">
        <v>2000</v>
      </c>
      <c r="F123" s="24">
        <v>26000</v>
      </c>
      <c r="G123" s="24">
        <v>2000</v>
      </c>
      <c r="H123" s="24">
        <v>0</v>
      </c>
      <c r="I123" s="24">
        <v>0</v>
      </c>
      <c r="J123" s="24">
        <f>(1-$D123)*E123</f>
        <v>2000</v>
      </c>
      <c r="K123" s="24">
        <f>(1-$D123)*F123</f>
        <v>26000</v>
      </c>
      <c r="L123" s="24">
        <f>G123</f>
        <v>2000</v>
      </c>
      <c r="M123" s="24">
        <f>(1-$D123)*H123</f>
        <v>0</v>
      </c>
      <c r="N123" s="24">
        <f>(1-$D123)*I123</f>
        <v>0</v>
      </c>
      <c r="O123" s="24">
        <v>0</v>
      </c>
      <c r="P123" s="24">
        <v>3050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>SUM(J123:Y123)</f>
        <v>33050</v>
      </c>
      <c r="AA123" s="24">
        <v>0</v>
      </c>
      <c r="AB123" s="20">
        <f>Z123-AA123</f>
        <v>33050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4"/>
    </row>
    <row r="124" spans="1:32" x14ac:dyDescent="0.25">
      <c r="A124" s="22" t="s">
        <v>123</v>
      </c>
      <c r="B124" s="22" t="s">
        <v>124</v>
      </c>
      <c r="C124" s="22" t="s">
        <v>47</v>
      </c>
      <c r="D124" s="23">
        <v>0</v>
      </c>
      <c r="E124" s="24">
        <v>0</v>
      </c>
      <c r="F124" s="24">
        <v>26000</v>
      </c>
      <c r="G124" s="24">
        <v>4000</v>
      </c>
      <c r="H124" s="24">
        <v>0</v>
      </c>
      <c r="I124" s="24">
        <v>0</v>
      </c>
      <c r="J124" s="24">
        <f>(1-$D124)*E124</f>
        <v>0</v>
      </c>
      <c r="K124" s="24">
        <f>(1-$D124)*F124</f>
        <v>26000</v>
      </c>
      <c r="L124" s="24">
        <f>G124</f>
        <v>4000</v>
      </c>
      <c r="M124" s="24">
        <f>(1-$D124)*H124</f>
        <v>0</v>
      </c>
      <c r="N124" s="24">
        <f>(1-$D124)*I124</f>
        <v>0</v>
      </c>
      <c r="O124" s="24">
        <v>24930</v>
      </c>
      <c r="P124" s="24">
        <v>10730</v>
      </c>
      <c r="Q124" s="24">
        <v>0</v>
      </c>
      <c r="R124" s="24">
        <v>0</v>
      </c>
      <c r="S124" s="24">
        <v>0</v>
      </c>
      <c r="T124" s="24">
        <v>6000</v>
      </c>
      <c r="U124" s="24">
        <v>0</v>
      </c>
      <c r="V124" s="24">
        <v>0</v>
      </c>
      <c r="W124" s="24">
        <v>0</v>
      </c>
      <c r="X124" s="24">
        <v>0</v>
      </c>
      <c r="Y124" s="24">
        <v>14240</v>
      </c>
      <c r="Z124" s="24">
        <f>SUM(J124:Y124)</f>
        <v>85900</v>
      </c>
      <c r="AA124" s="24">
        <v>50000</v>
      </c>
      <c r="AB124" s="20">
        <f>Z124-AA124</f>
        <v>35900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5" t="s">
        <v>325</v>
      </c>
    </row>
    <row r="125" spans="1:32" x14ac:dyDescent="0.25">
      <c r="A125" s="22" t="s">
        <v>125</v>
      </c>
      <c r="B125" s="22" t="s">
        <v>128</v>
      </c>
      <c r="C125" s="22" t="s">
        <v>44</v>
      </c>
      <c r="D125" s="23">
        <v>0.25</v>
      </c>
      <c r="E125" s="24">
        <v>0</v>
      </c>
      <c r="F125" s="24">
        <v>26000</v>
      </c>
      <c r="G125" s="24">
        <v>4000</v>
      </c>
      <c r="H125" s="24">
        <v>0</v>
      </c>
      <c r="I125" s="24">
        <v>0</v>
      </c>
      <c r="J125" s="24">
        <f>(1-$D125)*E125</f>
        <v>0</v>
      </c>
      <c r="K125" s="24">
        <f>(1-$D125)*F125</f>
        <v>19500</v>
      </c>
      <c r="L125" s="24">
        <f>G125</f>
        <v>4000</v>
      </c>
      <c r="M125" s="24">
        <f>(1-$D125)*H125</f>
        <v>0</v>
      </c>
      <c r="N125" s="24">
        <f>(1-$D125)*I125</f>
        <v>0</v>
      </c>
      <c r="O125" s="24">
        <v>13380</v>
      </c>
      <c r="P125" s="24">
        <v>7550</v>
      </c>
      <c r="Q125" s="24">
        <v>0</v>
      </c>
      <c r="R125" s="24">
        <v>0</v>
      </c>
      <c r="S125" s="24">
        <v>0</v>
      </c>
      <c r="T125" s="24">
        <v>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f>SUM(J125:Y125)</f>
        <v>44430</v>
      </c>
      <c r="AA125" s="24">
        <v>44430</v>
      </c>
      <c r="AB125" s="20">
        <f>Z125-AA125</f>
        <v>0</v>
      </c>
      <c r="AC125" s="24" t="str">
        <f>IF(AND($T125=6000, ($T125+$W125-$AB125)&gt;=6000),T125,"")</f>
        <v/>
      </c>
      <c r="AD125" s="24" t="str">
        <f>IF(AND($T125=8000, ($T125+$W125-$AB125)&gt;=8000),T125,"")</f>
        <v/>
      </c>
      <c r="AE125" s="24" t="str">
        <f>IF(($T125+$W125-$AB125)&gt;=$T125+8000,W125,"")</f>
        <v/>
      </c>
      <c r="AF125" s="25" t="s">
        <v>325</v>
      </c>
    </row>
    <row r="126" spans="1:32" x14ac:dyDescent="0.25">
      <c r="A126" s="22" t="s">
        <v>125</v>
      </c>
      <c r="B126" s="22" t="s">
        <v>127</v>
      </c>
      <c r="C126" s="22" t="s">
        <v>48</v>
      </c>
      <c r="D126" s="23">
        <v>0.25</v>
      </c>
      <c r="E126" s="24">
        <v>0</v>
      </c>
      <c r="F126" s="24">
        <v>28000</v>
      </c>
      <c r="G126" s="24">
        <v>4000</v>
      </c>
      <c r="H126" s="24">
        <v>0</v>
      </c>
      <c r="I126" s="24">
        <v>5000</v>
      </c>
      <c r="J126" s="24">
        <f>(1-$D126)*E126</f>
        <v>0</v>
      </c>
      <c r="K126" s="24">
        <f>(1-$D126)*F126</f>
        <v>21000</v>
      </c>
      <c r="L126" s="24">
        <f>G126</f>
        <v>4000</v>
      </c>
      <c r="M126" s="24">
        <f>(1-$D126)*H126</f>
        <v>0</v>
      </c>
      <c r="N126" s="24">
        <f>(1-$D126)*I126</f>
        <v>3750</v>
      </c>
      <c r="O126" s="24">
        <v>26150</v>
      </c>
      <c r="P126" s="24">
        <v>11330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>SUM(J126:Y126)</f>
        <v>66230</v>
      </c>
      <c r="AA126" s="24">
        <v>55570</v>
      </c>
      <c r="AB126" s="20">
        <f>Z126-AA126</f>
        <v>10660</v>
      </c>
      <c r="AC126" s="24" t="str">
        <f>IF(AND($T126=6000, ($T126+$W126-$AB126)&gt;=6000),T126,"")</f>
        <v/>
      </c>
      <c r="AD126" s="24" t="str">
        <f>IF(AND($T126=8000, ($T126+$W126-$AB126)&gt;=8000),T126,"")</f>
        <v/>
      </c>
      <c r="AE126" s="24" t="str">
        <f>IF(($T126+$W126-$AB126)&gt;=$T126+8000,W126,"")</f>
        <v/>
      </c>
      <c r="AF126" s="25" t="s">
        <v>325</v>
      </c>
    </row>
    <row r="127" spans="1:32" x14ac:dyDescent="0.25">
      <c r="A127" s="22" t="s">
        <v>125</v>
      </c>
      <c r="B127" s="22" t="s">
        <v>129</v>
      </c>
      <c r="C127" s="22" t="s">
        <v>248</v>
      </c>
      <c r="D127" s="23">
        <v>0.25</v>
      </c>
      <c r="E127" s="24">
        <v>0</v>
      </c>
      <c r="F127" s="24">
        <v>28000</v>
      </c>
      <c r="G127" s="24">
        <v>4000</v>
      </c>
      <c r="H127" s="24">
        <v>0</v>
      </c>
      <c r="I127" s="24">
        <v>5000</v>
      </c>
      <c r="J127" s="24">
        <f>(1-$D127)*E127</f>
        <v>0</v>
      </c>
      <c r="K127" s="24">
        <f>(1-$D127)*F127</f>
        <v>21000</v>
      </c>
      <c r="L127" s="24">
        <f>G127</f>
        <v>4000</v>
      </c>
      <c r="M127" s="24">
        <f>(1-$D127)*H127</f>
        <v>0</v>
      </c>
      <c r="N127" s="24">
        <f>(1-$D127)*I127</f>
        <v>3750</v>
      </c>
      <c r="O127" s="24">
        <v>28790</v>
      </c>
      <c r="P127" s="24">
        <v>13230</v>
      </c>
      <c r="Q127" s="24">
        <v>0</v>
      </c>
      <c r="R127" s="24">
        <v>0</v>
      </c>
      <c r="S127" s="24">
        <v>0</v>
      </c>
      <c r="T127" s="24">
        <v>6000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f>SUM(J127:Y127)</f>
        <v>76770</v>
      </c>
      <c r="AA127" s="24">
        <v>25000</v>
      </c>
      <c r="AB127" s="20">
        <f>Z127-AA127</f>
        <v>51770</v>
      </c>
      <c r="AC127" s="24" t="str">
        <f>IF(AND($T127=6000, ($T127+$W127-$AB127)&gt;=6000),T127,"")</f>
        <v/>
      </c>
      <c r="AD127" s="24" t="str">
        <f>IF(AND($T127=8000, ($T127+$W127-$AB127)&gt;=8000),T127,"")</f>
        <v/>
      </c>
      <c r="AE127" s="24" t="str">
        <f>IF(($T127+$W127-$AB127)&gt;=$T127+8000,W127,"")</f>
        <v/>
      </c>
      <c r="AF127" s="25" t="s">
        <v>325</v>
      </c>
    </row>
    <row r="128" spans="1:32" x14ac:dyDescent="0.25">
      <c r="A128" s="22" t="s">
        <v>125</v>
      </c>
      <c r="B128" s="22" t="s">
        <v>126</v>
      </c>
      <c r="C128" s="22" t="s">
        <v>70</v>
      </c>
      <c r="D128" s="23">
        <v>0.25</v>
      </c>
      <c r="E128" s="24">
        <v>0</v>
      </c>
      <c r="F128" s="24">
        <v>40000</v>
      </c>
      <c r="G128" s="24">
        <v>5000</v>
      </c>
      <c r="H128" s="24">
        <v>2000</v>
      </c>
      <c r="I128" s="24">
        <v>8000</v>
      </c>
      <c r="J128" s="24">
        <f>(1-$D128)*E128</f>
        <v>0</v>
      </c>
      <c r="K128" s="24">
        <f>(1-$D128)*F128</f>
        <v>30000</v>
      </c>
      <c r="L128" s="24">
        <f>G128</f>
        <v>5000</v>
      </c>
      <c r="M128" s="24">
        <f>(1-$D128)*H128</f>
        <v>1500</v>
      </c>
      <c r="N128" s="24">
        <f>(1-$D128)*I128</f>
        <v>6000</v>
      </c>
      <c r="O128" s="24">
        <v>11880</v>
      </c>
      <c r="P128" s="24">
        <v>14330</v>
      </c>
      <c r="Q128" s="24">
        <v>0</v>
      </c>
      <c r="R128" s="24">
        <v>0</v>
      </c>
      <c r="S128" s="24">
        <v>0</v>
      </c>
      <c r="T128" s="24">
        <v>8000</v>
      </c>
      <c r="U128" s="24">
        <v>0</v>
      </c>
      <c r="V128" s="24">
        <v>0</v>
      </c>
      <c r="W128" s="24">
        <v>0</v>
      </c>
      <c r="X128" s="24">
        <v>0</v>
      </c>
      <c r="Y128" s="24">
        <v>2660</v>
      </c>
      <c r="Z128" s="24">
        <f>SUM(J128:Y128)</f>
        <v>79370</v>
      </c>
      <c r="AA128" s="24">
        <v>25000</v>
      </c>
      <c r="AB128" s="20">
        <f>Z128-AA128</f>
        <v>54370</v>
      </c>
      <c r="AC128" s="24" t="str">
        <f>IF(AND($T128=6000, ($T128+$W128-$AB128)&gt;=6000),T128,"")</f>
        <v/>
      </c>
      <c r="AD128" s="24" t="str">
        <f>IF(AND($T128=8000, ($T128+$W128-$AB128)&gt;=8000),T128,"")</f>
        <v/>
      </c>
      <c r="AE128" s="24" t="str">
        <f>IF(($T128+$W128-$AB128)&gt;=$T128+8000,W128,"")</f>
        <v/>
      </c>
      <c r="AF128" s="25" t="s">
        <v>325</v>
      </c>
    </row>
    <row r="129" spans="1:32" x14ac:dyDescent="0.25">
      <c r="A129" s="22" t="s">
        <v>184</v>
      </c>
      <c r="B129" s="22" t="s">
        <v>189</v>
      </c>
      <c r="C129" s="22" t="s">
        <v>30</v>
      </c>
      <c r="D129" s="23">
        <v>0.25</v>
      </c>
      <c r="E129" s="24">
        <v>0</v>
      </c>
      <c r="F129" s="24">
        <v>26000</v>
      </c>
      <c r="G129" s="24">
        <v>4000</v>
      </c>
      <c r="H129" s="24">
        <v>1000</v>
      </c>
      <c r="I129" s="24">
        <v>0</v>
      </c>
      <c r="J129" s="24">
        <f>(1-$D129)*E129</f>
        <v>0</v>
      </c>
      <c r="K129" s="24">
        <f>(1-$D129)*F129</f>
        <v>19500</v>
      </c>
      <c r="L129" s="24">
        <f>G129</f>
        <v>4000</v>
      </c>
      <c r="M129" s="24">
        <f>(1-$D129)*H129</f>
        <v>750</v>
      </c>
      <c r="N129" s="24">
        <f>(1-$D129)*I129</f>
        <v>0</v>
      </c>
      <c r="O129" s="24">
        <v>12480</v>
      </c>
      <c r="P129" s="24">
        <v>7550</v>
      </c>
      <c r="Q129" s="24">
        <v>0</v>
      </c>
      <c r="R129" s="24">
        <v>0</v>
      </c>
      <c r="S129" s="24">
        <v>0</v>
      </c>
      <c r="T129" s="24">
        <v>6000</v>
      </c>
      <c r="U129" s="24">
        <v>0</v>
      </c>
      <c r="V129" s="24">
        <v>0</v>
      </c>
      <c r="W129" s="24">
        <v>0</v>
      </c>
      <c r="X129" s="24">
        <v>0</v>
      </c>
      <c r="Y129" s="24">
        <v>1250</v>
      </c>
      <c r="Z129" s="24">
        <f>SUM(J129:Y129)</f>
        <v>51530</v>
      </c>
      <c r="AA129" s="24">
        <v>10000</v>
      </c>
      <c r="AB129" s="20">
        <f>Z129-AA129</f>
        <v>41530</v>
      </c>
      <c r="AC129" s="24" t="str">
        <f>IF(AND($T129=6000, ($T129+$W129-$AB129)&gt;=6000),T129,"")</f>
        <v/>
      </c>
      <c r="AD129" s="24" t="str">
        <f>IF(AND($T129=8000, ($T129+$W129-$AB129)&gt;=8000),T129,"")</f>
        <v/>
      </c>
      <c r="AE129" s="24" t="str">
        <f>IF(($T129+$W129-$AB129)&gt;=$T129+8000,W129,"")</f>
        <v/>
      </c>
      <c r="AF129" s="25" t="s">
        <v>325</v>
      </c>
    </row>
    <row r="130" spans="1:32" x14ac:dyDescent="0.25">
      <c r="A130" s="22" t="s">
        <v>184</v>
      </c>
      <c r="B130" s="22" t="s">
        <v>185</v>
      </c>
      <c r="C130" s="22" t="s">
        <v>33</v>
      </c>
      <c r="D130" s="23">
        <v>0.25</v>
      </c>
      <c r="E130" s="24">
        <v>0</v>
      </c>
      <c r="F130" s="24">
        <v>28000</v>
      </c>
      <c r="G130" s="24">
        <v>4000</v>
      </c>
      <c r="H130" s="24">
        <v>2500</v>
      </c>
      <c r="I130" s="24">
        <v>5000</v>
      </c>
      <c r="J130" s="24">
        <f>(1-$D130)*E130</f>
        <v>0</v>
      </c>
      <c r="K130" s="24">
        <f>(1-$D130)*F130</f>
        <v>21000</v>
      </c>
      <c r="L130" s="24">
        <f>G130</f>
        <v>4000</v>
      </c>
      <c r="M130" s="24">
        <f>(1-$D130)*H130</f>
        <v>1875</v>
      </c>
      <c r="N130" s="24">
        <f>(1-$D130)*I130</f>
        <v>3750</v>
      </c>
      <c r="O130" s="24">
        <v>25970</v>
      </c>
      <c r="P130" s="24">
        <v>11330</v>
      </c>
      <c r="Q130" s="24">
        <v>0</v>
      </c>
      <c r="R130" s="24">
        <v>0</v>
      </c>
      <c r="S130" s="24">
        <v>0</v>
      </c>
      <c r="T130" s="24">
        <v>6000</v>
      </c>
      <c r="U130" s="24">
        <v>0</v>
      </c>
      <c r="V130" s="24">
        <v>0</v>
      </c>
      <c r="W130" s="24">
        <v>0</v>
      </c>
      <c r="X130" s="24">
        <v>0</v>
      </c>
      <c r="Y130" s="24">
        <v>9500</v>
      </c>
      <c r="Z130" s="24">
        <f>SUM(J130:Y130)</f>
        <v>83425</v>
      </c>
      <c r="AA130" s="24">
        <v>0</v>
      </c>
      <c r="AB130" s="20">
        <f>Z130-AA130</f>
        <v>83425</v>
      </c>
      <c r="AC130" s="24" t="str">
        <f>IF(AND($T130=6000, ($T130+$W130-$AB130)&gt;=6000),T130,"")</f>
        <v/>
      </c>
      <c r="AD130" s="24" t="str">
        <f>IF(AND($T130=8000, ($T130+$W130-$AB130)&gt;=8000),T130,"")</f>
        <v/>
      </c>
      <c r="AE130" s="24" t="str">
        <f>IF(($T130+$W130-$AB130)&gt;=$T130+8000,W130,"")</f>
        <v/>
      </c>
      <c r="AF130" s="25" t="s">
        <v>325</v>
      </c>
    </row>
    <row r="131" spans="1:32" x14ac:dyDescent="0.25">
      <c r="A131" s="22" t="s">
        <v>184</v>
      </c>
      <c r="B131" s="22" t="s">
        <v>186</v>
      </c>
      <c r="C131" s="22" t="s">
        <v>59</v>
      </c>
      <c r="D131" s="23">
        <v>0.25</v>
      </c>
      <c r="E131" s="24">
        <v>0</v>
      </c>
      <c r="F131" s="24">
        <v>28000</v>
      </c>
      <c r="G131" s="24">
        <v>4000</v>
      </c>
      <c r="H131" s="24">
        <v>0</v>
      </c>
      <c r="I131" s="24">
        <v>5000</v>
      </c>
      <c r="J131" s="24">
        <f>(1-$D131)*E131</f>
        <v>0</v>
      </c>
      <c r="K131" s="24">
        <f>(1-$D131)*F131</f>
        <v>21000</v>
      </c>
      <c r="L131" s="24">
        <f>G131</f>
        <v>4000</v>
      </c>
      <c r="M131" s="24">
        <f>(1-$D131)*H131</f>
        <v>0</v>
      </c>
      <c r="N131" s="24">
        <f>(1-$D131)*I131</f>
        <v>3750</v>
      </c>
      <c r="O131" s="24">
        <v>27330</v>
      </c>
      <c r="P131" s="24">
        <v>13230</v>
      </c>
      <c r="Q131" s="24">
        <v>0</v>
      </c>
      <c r="R131" s="24">
        <v>0</v>
      </c>
      <c r="S131" s="24">
        <v>0</v>
      </c>
      <c r="T131" s="24">
        <v>6000</v>
      </c>
      <c r="U131" s="24">
        <v>0</v>
      </c>
      <c r="V131" s="24">
        <v>0</v>
      </c>
      <c r="W131" s="24">
        <v>0</v>
      </c>
      <c r="X131" s="24">
        <v>0</v>
      </c>
      <c r="Y131" s="24">
        <v>0</v>
      </c>
      <c r="Z131" s="24">
        <f>SUM(J131:Y131)</f>
        <v>75310</v>
      </c>
      <c r="AA131" s="24">
        <v>0</v>
      </c>
      <c r="AB131" s="20">
        <f>Z131-AA131</f>
        <v>75310</v>
      </c>
      <c r="AC131" s="24" t="str">
        <f>IF(AND($T131=6000, ($T131+$W131-$AB131)&gt;=6000),T131,"")</f>
        <v/>
      </c>
      <c r="AD131" s="24" t="str">
        <f>IF(AND($T131=8000, ($T131+$W131-$AB131)&gt;=8000),T131,"")</f>
        <v/>
      </c>
      <c r="AE131" s="24" t="str">
        <f>IF(($T131+$W131-$AB131)&gt;=$T131+8000,W131,"")</f>
        <v/>
      </c>
      <c r="AF131" s="25" t="s">
        <v>325</v>
      </c>
    </row>
    <row r="132" spans="1:32" x14ac:dyDescent="0.25">
      <c r="A132" s="22" t="s">
        <v>220</v>
      </c>
      <c r="B132" s="22" t="s">
        <v>221</v>
      </c>
      <c r="C132" s="22" t="s">
        <v>49</v>
      </c>
      <c r="D132" s="23">
        <v>0</v>
      </c>
      <c r="E132" s="24">
        <v>0</v>
      </c>
      <c r="F132" s="24">
        <v>26000</v>
      </c>
      <c r="G132" s="24">
        <v>4000</v>
      </c>
      <c r="H132" s="24">
        <v>1000</v>
      </c>
      <c r="I132" s="24">
        <v>0</v>
      </c>
      <c r="J132" s="24">
        <f>(1-$D132)*E132</f>
        <v>0</v>
      </c>
      <c r="K132" s="24">
        <f>(1-$D132)*F132</f>
        <v>26000</v>
      </c>
      <c r="L132" s="24">
        <f>G132</f>
        <v>4000</v>
      </c>
      <c r="M132" s="24">
        <f>(1-$D132)*H132</f>
        <v>1000</v>
      </c>
      <c r="N132" s="24">
        <f>(1-$D132)*I132</f>
        <v>0</v>
      </c>
      <c r="O132" s="24">
        <v>6840</v>
      </c>
      <c r="P132" s="24">
        <v>5300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1000</v>
      </c>
      <c r="Z132" s="24">
        <f>SUM(J132:Y132)</f>
        <v>44140</v>
      </c>
      <c r="AA132" s="24">
        <v>44140</v>
      </c>
      <c r="AB132" s="20">
        <f>Z132-AA132</f>
        <v>0</v>
      </c>
      <c r="AC132" s="24" t="str">
        <f>IF(AND($T132=6000, ($T132+$W132-$AB132)&gt;=6000),T132,"")</f>
        <v/>
      </c>
      <c r="AD132" s="24" t="str">
        <f>IF(AND($T132=8000, ($T132+$W132-$AB132)&gt;=8000),T132,"")</f>
        <v/>
      </c>
      <c r="AE132" s="24" t="str">
        <f>IF(($T132+$W132-$AB132)&gt;=$T132+8000,W132,"")</f>
        <v/>
      </c>
      <c r="AF132" s="25" t="s">
        <v>325</v>
      </c>
    </row>
    <row r="133" spans="1:32" x14ac:dyDescent="0.25">
      <c r="A133" s="22" t="s">
        <v>130</v>
      </c>
      <c r="B133" s="22" t="s">
        <v>131</v>
      </c>
      <c r="C133" s="22" t="s">
        <v>67</v>
      </c>
      <c r="D133" s="23">
        <v>0.3</v>
      </c>
      <c r="E133" s="24">
        <v>0</v>
      </c>
      <c r="F133" s="24">
        <v>33000</v>
      </c>
      <c r="G133" s="24">
        <v>5000</v>
      </c>
      <c r="H133" s="24">
        <v>2000</v>
      </c>
      <c r="I133" s="24">
        <v>6000</v>
      </c>
      <c r="J133" s="24">
        <f>(1-$D133)*E133</f>
        <v>0</v>
      </c>
      <c r="K133" s="24">
        <f>(1-$D133)*F133</f>
        <v>23100</v>
      </c>
      <c r="L133" s="24">
        <f>G133</f>
        <v>5000</v>
      </c>
      <c r="M133" s="24">
        <f>(1-$D133)*H133</f>
        <v>1400</v>
      </c>
      <c r="N133" s="24">
        <f>(1-$D133)*I133</f>
        <v>4200</v>
      </c>
      <c r="O133" s="24">
        <v>22400</v>
      </c>
      <c r="P133" s="24">
        <v>14330</v>
      </c>
      <c r="Q133" s="24">
        <v>0</v>
      </c>
      <c r="R133" s="24">
        <v>0</v>
      </c>
      <c r="S133" s="24">
        <v>0</v>
      </c>
      <c r="T133" s="24">
        <v>8000</v>
      </c>
      <c r="U133" s="24">
        <v>0</v>
      </c>
      <c r="V133" s="24">
        <v>0</v>
      </c>
      <c r="W133" s="24">
        <v>0</v>
      </c>
      <c r="X133" s="24">
        <v>0</v>
      </c>
      <c r="Y133" s="24">
        <v>0</v>
      </c>
      <c r="Z133" s="24">
        <f>SUM(J133:Y133)</f>
        <v>78430</v>
      </c>
      <c r="AA133" s="24">
        <v>0</v>
      </c>
      <c r="AB133" s="20">
        <f>Z133-AA133</f>
        <v>78430</v>
      </c>
      <c r="AC133" s="24" t="str">
        <f>IF(AND($T133=6000, ($T133+$W133-$AB133)&gt;=6000),T133,"")</f>
        <v/>
      </c>
      <c r="AD133" s="24" t="str">
        <f>IF(AND($T133=8000, ($T133+$W133-$AB133)&gt;=8000),T133,"")</f>
        <v/>
      </c>
      <c r="AE133" s="24" t="str">
        <f>IF(($T133+$W133-$AB133)&gt;=$T133+8000,W133,"")</f>
        <v/>
      </c>
      <c r="AF133" s="25" t="s">
        <v>325</v>
      </c>
    </row>
    <row r="134" spans="1:32" x14ac:dyDescent="0.25">
      <c r="A134" s="22" t="s">
        <v>130</v>
      </c>
      <c r="B134" s="22" t="s">
        <v>132</v>
      </c>
      <c r="C134" s="22" t="s">
        <v>70</v>
      </c>
      <c r="D134" s="23">
        <v>0.25</v>
      </c>
      <c r="E134" s="24">
        <v>0</v>
      </c>
      <c r="F134" s="24">
        <v>40000</v>
      </c>
      <c r="G134" s="24">
        <v>5000</v>
      </c>
      <c r="H134" s="24">
        <v>2000</v>
      </c>
      <c r="I134" s="24">
        <v>8000</v>
      </c>
      <c r="J134" s="24">
        <f>(1-$D134)*E134</f>
        <v>0</v>
      </c>
      <c r="K134" s="24">
        <f>(1-$D134)*F134</f>
        <v>30000</v>
      </c>
      <c r="L134" s="24">
        <f>G134</f>
        <v>5000</v>
      </c>
      <c r="M134" s="24">
        <f>(1-$D134)*H134</f>
        <v>1500</v>
      </c>
      <c r="N134" s="24">
        <f>(1-$D134)*I134</f>
        <v>6000</v>
      </c>
      <c r="O134" s="24">
        <v>11880</v>
      </c>
      <c r="P134" s="24">
        <v>14330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>SUM(J134:Y134)</f>
        <v>68710</v>
      </c>
      <c r="AA134" s="24">
        <v>0</v>
      </c>
      <c r="AB134" s="20">
        <f>Z134-AA134</f>
        <v>68710</v>
      </c>
      <c r="AC134" s="24" t="str">
        <f>IF(AND($T134=6000, ($T134+$W134-$AB134)&gt;=6000),T134,"")</f>
        <v/>
      </c>
      <c r="AD134" s="24" t="str">
        <f>IF(AND($T134=8000, ($T134+$W134-$AB134)&gt;=8000),T134,"")</f>
        <v/>
      </c>
      <c r="AE134" s="24" t="str">
        <f>IF(($T134+$W134-$AB134)&gt;=$T134+8000,W134,"")</f>
        <v/>
      </c>
      <c r="AF134" s="25" t="s">
        <v>325</v>
      </c>
    </row>
    <row r="135" spans="1:32" x14ac:dyDescent="0.25">
      <c r="A135" s="22" t="s">
        <v>133</v>
      </c>
      <c r="B135" s="22" t="s">
        <v>134</v>
      </c>
      <c r="C135" s="22" t="s">
        <v>48</v>
      </c>
      <c r="D135" s="23">
        <v>0</v>
      </c>
      <c r="E135" s="24">
        <v>0</v>
      </c>
      <c r="F135" s="24">
        <v>28000</v>
      </c>
      <c r="G135" s="24">
        <v>4000</v>
      </c>
      <c r="H135" s="24">
        <v>0</v>
      </c>
      <c r="I135" s="24">
        <v>5000</v>
      </c>
      <c r="J135" s="24">
        <f>(1-$D135)*E135</f>
        <v>0</v>
      </c>
      <c r="K135" s="24">
        <f>(1-$D135)*F135</f>
        <v>28000</v>
      </c>
      <c r="L135" s="24">
        <f>G135</f>
        <v>4000</v>
      </c>
      <c r="M135" s="24">
        <f>(1-$D135)*H135</f>
        <v>0</v>
      </c>
      <c r="N135" s="24">
        <f>(1-$D135)*I135</f>
        <v>5000</v>
      </c>
      <c r="O135" s="24">
        <v>26150</v>
      </c>
      <c r="P135" s="24">
        <v>11330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4020</v>
      </c>
      <c r="Z135" s="24">
        <f>SUM(J135:Y135)</f>
        <v>78500</v>
      </c>
      <c r="AA135" s="24">
        <v>0</v>
      </c>
      <c r="AB135" s="20">
        <f>Z135-AA135</f>
        <v>78500</v>
      </c>
      <c r="AC135" s="24" t="str">
        <f>IF(AND($T135=6000, ($T135+$W135-$AB135)&gt;=6000),T135,"")</f>
        <v/>
      </c>
      <c r="AD135" s="24" t="str">
        <f>IF(AND($T135=8000, ($T135+$W135-$AB135)&gt;=8000),T135,"")</f>
        <v/>
      </c>
      <c r="AE135" s="24" t="str">
        <f>IF(($T135+$W135-$AB135)&gt;=$T135+8000,W135,"")</f>
        <v/>
      </c>
      <c r="AF135" s="25" t="s">
        <v>325</v>
      </c>
    </row>
    <row r="136" spans="1:32" x14ac:dyDescent="0.25">
      <c r="A136" s="22" t="s">
        <v>135</v>
      </c>
      <c r="B136" s="22" t="s">
        <v>218</v>
      </c>
      <c r="C136" s="22" t="s">
        <v>49</v>
      </c>
      <c r="D136" s="23">
        <v>0.25</v>
      </c>
      <c r="E136" s="24">
        <v>0</v>
      </c>
      <c r="F136" s="24">
        <v>26000</v>
      </c>
      <c r="G136" s="24">
        <v>4000</v>
      </c>
      <c r="H136" s="24">
        <v>1000</v>
      </c>
      <c r="I136" s="24">
        <v>0</v>
      </c>
      <c r="J136" s="24">
        <f>(1-$D136)*E136</f>
        <v>0</v>
      </c>
      <c r="K136" s="24">
        <f>(1-$D136)*F136</f>
        <v>19500</v>
      </c>
      <c r="L136" s="24">
        <f>G136</f>
        <v>4000</v>
      </c>
      <c r="M136" s="24">
        <f>(1-$D136)*H136</f>
        <v>750</v>
      </c>
      <c r="N136" s="24">
        <f>(1-$D136)*I136</f>
        <v>0</v>
      </c>
      <c r="O136" s="24">
        <v>6840</v>
      </c>
      <c r="P136" s="24">
        <v>5300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f>SUM(J136:Y136)</f>
        <v>36390</v>
      </c>
      <c r="AA136" s="24">
        <v>7070</v>
      </c>
      <c r="AB136" s="20">
        <f>Z136-AA136</f>
        <v>29320</v>
      </c>
      <c r="AC136" s="24" t="str">
        <f>IF(AND($T136=6000, ($T136+$W136-$AB136)&gt;=6000),T136,"")</f>
        <v/>
      </c>
      <c r="AD136" s="24" t="str">
        <f>IF(AND($T136=8000, ($T136+$W136-$AB136)&gt;=8000),T136,"")</f>
        <v/>
      </c>
      <c r="AE136" s="24" t="str">
        <f>IF(($T136+$W136-$AB136)&gt;=$T136+8000,W136,"")</f>
        <v/>
      </c>
      <c r="AF136" s="25" t="s">
        <v>325</v>
      </c>
    </row>
    <row r="137" spans="1:32" x14ac:dyDescent="0.25">
      <c r="A137" s="22" t="s">
        <v>135</v>
      </c>
      <c r="B137" s="22" t="s">
        <v>136</v>
      </c>
      <c r="C137" s="22" t="s">
        <v>30</v>
      </c>
      <c r="D137" s="23">
        <v>0.3</v>
      </c>
      <c r="E137" s="24">
        <v>0</v>
      </c>
      <c r="F137" s="24">
        <v>26000</v>
      </c>
      <c r="G137" s="24">
        <v>4000</v>
      </c>
      <c r="H137" s="24">
        <v>1000</v>
      </c>
      <c r="I137" s="24">
        <v>0</v>
      </c>
      <c r="J137" s="24">
        <f>(1-$D137)*E137</f>
        <v>0</v>
      </c>
      <c r="K137" s="24">
        <f>(1-$D137)*F137</f>
        <v>18200</v>
      </c>
      <c r="L137" s="24">
        <f>G137</f>
        <v>4000</v>
      </c>
      <c r="M137" s="24">
        <f>(1-$D137)*H137</f>
        <v>700</v>
      </c>
      <c r="N137" s="24">
        <f>(1-$D137)*I137</f>
        <v>0</v>
      </c>
      <c r="O137" s="24">
        <v>12480</v>
      </c>
      <c r="P137" s="24">
        <v>7550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f>SUM(J137:Y137)</f>
        <v>42930</v>
      </c>
      <c r="AA137" s="24">
        <v>42930</v>
      </c>
      <c r="AB137" s="20">
        <f>Z137-AA137</f>
        <v>0</v>
      </c>
      <c r="AC137" s="24" t="str">
        <f>IF(AND($T137=6000, ($T137+$W137-$AB137)&gt;=6000),T137,"")</f>
        <v/>
      </c>
      <c r="AD137" s="24" t="str">
        <f>IF(AND($T137=8000, ($T137+$W137-$AB137)&gt;=8000),T137,"")</f>
        <v/>
      </c>
      <c r="AE137" s="24" t="str">
        <f>IF(($T137+$W137-$AB137)&gt;=$T137+8000,W137,"")</f>
        <v/>
      </c>
      <c r="AF137" s="25" t="s">
        <v>326</v>
      </c>
    </row>
    <row r="138" spans="1:32" x14ac:dyDescent="0.25">
      <c r="A138" s="22" t="s">
        <v>137</v>
      </c>
      <c r="B138" s="22" t="s">
        <v>138</v>
      </c>
      <c r="C138" s="22" t="s">
        <v>44</v>
      </c>
      <c r="D138" s="23">
        <v>0</v>
      </c>
      <c r="E138" s="24">
        <v>0</v>
      </c>
      <c r="F138" s="24">
        <v>26000</v>
      </c>
      <c r="G138" s="24">
        <v>4000</v>
      </c>
      <c r="H138" s="24">
        <v>0</v>
      </c>
      <c r="I138" s="24">
        <v>0</v>
      </c>
      <c r="J138" s="24">
        <f>(1-$D138)*E138</f>
        <v>0</v>
      </c>
      <c r="K138" s="24">
        <f>(1-$D138)*F138</f>
        <v>26000</v>
      </c>
      <c r="L138" s="24">
        <f>G138</f>
        <v>4000</v>
      </c>
      <c r="M138" s="24">
        <f>(1-$D138)*H138</f>
        <v>0</v>
      </c>
      <c r="N138" s="24">
        <f>(1-$D138)*I138</f>
        <v>0</v>
      </c>
      <c r="O138" s="24">
        <v>13380</v>
      </c>
      <c r="P138" s="24">
        <v>3500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f>SUM(J138:Y138)</f>
        <v>46880</v>
      </c>
      <c r="AA138" s="24">
        <v>30000</v>
      </c>
      <c r="AB138" s="20">
        <f>Z138-AA138</f>
        <v>16880</v>
      </c>
      <c r="AC138" s="24" t="str">
        <f>IF(AND($T138=6000, ($T138+$W138-$AB138)&gt;=6000),T138,"")</f>
        <v/>
      </c>
      <c r="AD138" s="24" t="str">
        <f>IF(AND($T138=8000, ($T138+$W138-$AB138)&gt;=8000),T138,"")</f>
        <v/>
      </c>
      <c r="AE138" s="24" t="str">
        <f>IF(($T138+$W138-$AB138)&gt;=$T138+8000,W138,"")</f>
        <v/>
      </c>
      <c r="AF138" s="25" t="s">
        <v>325</v>
      </c>
    </row>
    <row r="139" spans="1:32" x14ac:dyDescent="0.25">
      <c r="A139" s="26"/>
      <c r="B139" s="26"/>
      <c r="C139" s="26"/>
      <c r="D139" s="27"/>
      <c r="E139" s="28"/>
      <c r="F139" s="28"/>
      <c r="G139" s="28"/>
      <c r="H139" s="28"/>
      <c r="I139" s="28"/>
      <c r="J139" s="28">
        <f>SUM(J2:J138)</f>
        <v>35500</v>
      </c>
      <c r="K139" s="28">
        <f>SUM(K2:K138)</f>
        <v>3089300</v>
      </c>
      <c r="L139" s="28">
        <f>SUM(L2:L138)</f>
        <v>567000</v>
      </c>
      <c r="M139" s="28">
        <f>SUM(M2:M138)</f>
        <v>101200</v>
      </c>
      <c r="N139" s="28">
        <f>SUM(N2:N138)</f>
        <v>290750</v>
      </c>
      <c r="O139" s="28">
        <f>SUM(O2:O138)</f>
        <v>2394850</v>
      </c>
      <c r="P139" s="28">
        <f>SUM(P2:P138)</f>
        <v>1354790</v>
      </c>
      <c r="Q139" s="28">
        <f>SUM(Q2:Q138)</f>
        <v>332000</v>
      </c>
      <c r="R139" s="28">
        <f>SUM(R2:R138)</f>
        <v>136000</v>
      </c>
      <c r="S139" s="28">
        <f>SUM(S2:S138)</f>
        <v>116000</v>
      </c>
      <c r="T139" s="28">
        <f>SUM(T2:T138)</f>
        <v>264000</v>
      </c>
      <c r="U139" s="28">
        <f>SUM(U2:U138)</f>
        <v>0</v>
      </c>
      <c r="V139" s="28">
        <f>SUM(V2:V138)</f>
        <v>0</v>
      </c>
      <c r="W139" s="28">
        <f>SUM(W2:W138)</f>
        <v>0</v>
      </c>
      <c r="X139" s="28">
        <f>SUM(X2:X138)</f>
        <v>0</v>
      </c>
      <c r="Y139" s="28">
        <f>SUM(Y2:Y138)</f>
        <v>188670</v>
      </c>
      <c r="Z139" s="28">
        <f>SUM(Z2:Z138)</f>
        <v>8870060</v>
      </c>
      <c r="AA139" s="28">
        <f>SUM(AA2:AA138)</f>
        <v>3390735</v>
      </c>
      <c r="AB139" s="28">
        <f>SUM(AB2:AB138)</f>
        <v>5479325</v>
      </c>
      <c r="AC139" s="28">
        <f>SUM(AC2:AC138)</f>
        <v>42000</v>
      </c>
      <c r="AD139" s="28">
        <f>SUM(AD2:AD138)</f>
        <v>0</v>
      </c>
      <c r="AE139" s="28">
        <f>SUM(AE2:AE138)</f>
        <v>0</v>
      </c>
      <c r="AF139" s="28">
        <f>SUM(AF2:AF138)</f>
        <v>0</v>
      </c>
    </row>
    <row r="140" spans="1:32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2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2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2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2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34"/>
      <c r="AC279" s="33"/>
      <c r="AD279" s="33"/>
    </row>
    <row r="280" spans="1:30" x14ac:dyDescent="0.25">
      <c r="A280" s="29"/>
      <c r="B280" s="29"/>
      <c r="C280" s="29"/>
      <c r="D280" s="30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34"/>
      <c r="AC280" s="33"/>
      <c r="AD280" s="33"/>
    </row>
    <row r="281" spans="1:30" x14ac:dyDescent="0.25">
      <c r="A281" s="29"/>
      <c r="B281" s="29"/>
      <c r="C281" s="29"/>
      <c r="D281" s="30"/>
      <c r="E281" s="31"/>
      <c r="F281" s="31"/>
      <c r="G281" s="31"/>
      <c r="H281" s="31"/>
      <c r="I281" s="31"/>
      <c r="J281" s="31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34"/>
      <c r="AC281" s="33"/>
      <c r="AD281" s="33"/>
    </row>
    <row r="282" spans="1:30" x14ac:dyDescent="0.25">
      <c r="A282" s="29"/>
      <c r="B282" s="29"/>
      <c r="C282" s="29"/>
      <c r="D282" s="30"/>
      <c r="E282" s="31"/>
      <c r="F282" s="31"/>
      <c r="G282" s="31"/>
      <c r="H282" s="31"/>
      <c r="I282" s="31"/>
      <c r="J282" s="31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34"/>
      <c r="AC282" s="33"/>
      <c r="AD282" s="33"/>
    </row>
    <row r="283" spans="1:30" x14ac:dyDescent="0.25">
      <c r="A283" s="29"/>
      <c r="B283" s="29"/>
      <c r="C283" s="29"/>
      <c r="D283" s="30"/>
      <c r="E283" s="31"/>
      <c r="F283" s="31"/>
      <c r="G283" s="31"/>
      <c r="H283" s="31"/>
      <c r="I283" s="31"/>
      <c r="J283" s="31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C283" s="33"/>
      <c r="AD283" s="33"/>
    </row>
    <row r="284" spans="1:30" x14ac:dyDescent="0.25"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  <row r="994" spans="29:30" x14ac:dyDescent="0.25">
      <c r="AC994" s="33"/>
      <c r="AD994" s="33"/>
    </row>
    <row r="995" spans="29:30" x14ac:dyDescent="0.25">
      <c r="AC995" s="33"/>
      <c r="AD995" s="33"/>
    </row>
    <row r="996" spans="29:30" x14ac:dyDescent="0.25">
      <c r="AC996" s="33"/>
      <c r="AD996" s="33"/>
    </row>
    <row r="997" spans="29:30" x14ac:dyDescent="0.25">
      <c r="AC997" s="33"/>
      <c r="AD997" s="33"/>
    </row>
  </sheetData>
  <sortState xmlns:xlrd2="http://schemas.microsoft.com/office/spreadsheetml/2017/richdata2" ref="A2:AF139">
    <sortCondition ref="A2:A139"/>
  </sortState>
  <phoneticPr fontId="3" type="noConversion"/>
  <conditionalFormatting sqref="AC1:AF10 E139:AF139 AB140:AB996 AB1:AB138">
    <cfRule type="cellIs" dxfId="0" priority="1" operator="lessThan">
      <formula>0</formula>
    </cfRule>
  </conditionalFormatting>
  <dataValidations count="1">
    <dataValidation type="custom" allowBlank="1" showDropDown="1" sqref="Y101:Y102 Y105:Y117 D124 O56:X138 D125:I138 Y124:Y138 D11:H31 Y56:Y98 AA11:AA138 I11:I124 O11:Y55 D32:D108 E32:H124" xr:uid="{8FCCCF8D-A982-4ECC-8B53-E3BEBA112740}">
      <formula1>AND(ISNUMBER(D11),(NOT(OR(NOT(ISERROR(DATEVALUE(D11))), AND(ISNUMBER(D11), LEFT(CELL("format", D11))="D")))))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66" activePane="bottomRight" state="frozen"/>
      <selection activeCell="B16" sqref="B16"/>
      <selection pane="topRight" activeCell="B16" sqref="B16"/>
      <selection pane="bottomLeft" activeCell="B16" sqref="B16"/>
      <selection pane="bottomRight" activeCell="E75" sqref="E75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107.710937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3390735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46280</v>
      </c>
      <c r="B5" s="7" t="s">
        <v>250</v>
      </c>
      <c r="C5" s="11" t="s">
        <v>320</v>
      </c>
      <c r="D5" s="12">
        <v>40000</v>
      </c>
      <c r="E5" s="11" t="s">
        <v>366</v>
      </c>
      <c r="H5" s="9"/>
    </row>
    <row r="6" spans="1:24" x14ac:dyDescent="0.25">
      <c r="A6" s="8">
        <v>46282</v>
      </c>
      <c r="B6" s="7" t="s">
        <v>250</v>
      </c>
      <c r="C6" s="7" t="s">
        <v>320</v>
      </c>
      <c r="D6" s="9">
        <v>50000</v>
      </c>
      <c r="E6" s="7" t="s">
        <v>366</v>
      </c>
    </row>
    <row r="7" spans="1:24" x14ac:dyDescent="0.25">
      <c r="A7" s="8">
        <v>46286</v>
      </c>
      <c r="B7" s="7" t="s">
        <v>250</v>
      </c>
      <c r="C7" s="7" t="s">
        <v>320</v>
      </c>
      <c r="D7" s="9">
        <v>29000</v>
      </c>
      <c r="E7" s="7" t="s">
        <v>366</v>
      </c>
    </row>
    <row r="8" spans="1:24" x14ac:dyDescent="0.25">
      <c r="A8" s="8">
        <v>46286</v>
      </c>
      <c r="B8" s="7" t="s">
        <v>250</v>
      </c>
      <c r="C8" s="7" t="s">
        <v>373</v>
      </c>
      <c r="D8" s="9">
        <v>50000</v>
      </c>
      <c r="E8" s="7" t="s">
        <v>380</v>
      </c>
    </row>
    <row r="9" spans="1:24" x14ac:dyDescent="0.25">
      <c r="A9" s="8">
        <v>46268</v>
      </c>
      <c r="B9" s="7" t="s">
        <v>250</v>
      </c>
      <c r="C9" s="7" t="s">
        <v>265</v>
      </c>
      <c r="D9" s="9">
        <v>42140</v>
      </c>
      <c r="E9" s="7" t="s">
        <v>266</v>
      </c>
    </row>
    <row r="10" spans="1:24" x14ac:dyDescent="0.25">
      <c r="A10" s="8">
        <v>46280</v>
      </c>
      <c r="B10" s="7" t="s">
        <v>250</v>
      </c>
      <c r="C10" s="7" t="s">
        <v>337</v>
      </c>
      <c r="D10" s="9">
        <v>80000</v>
      </c>
      <c r="E10" s="7" t="s">
        <v>338</v>
      </c>
      <c r="F10" s="11"/>
    </row>
    <row r="11" spans="1:24" x14ac:dyDescent="0.25">
      <c r="A11" s="8">
        <v>46280</v>
      </c>
      <c r="B11" s="7" t="s">
        <v>250</v>
      </c>
      <c r="C11" s="7" t="s">
        <v>318</v>
      </c>
      <c r="D11" s="9">
        <v>120210</v>
      </c>
      <c r="E11" s="7" t="s">
        <v>336</v>
      </c>
    </row>
    <row r="12" spans="1:24" x14ac:dyDescent="0.25">
      <c r="A12" s="8">
        <v>46255</v>
      </c>
      <c r="B12" s="7" t="s">
        <v>250</v>
      </c>
      <c r="C12" s="7" t="s">
        <v>253</v>
      </c>
      <c r="D12" s="9">
        <v>43000</v>
      </c>
      <c r="E12" s="7" t="s">
        <v>254</v>
      </c>
    </row>
    <row r="13" spans="1:24" s="8" customFormat="1" x14ac:dyDescent="0.25">
      <c r="A13" s="8">
        <v>46262</v>
      </c>
      <c r="B13" s="7" t="s">
        <v>250</v>
      </c>
      <c r="C13" s="7" t="s">
        <v>253</v>
      </c>
      <c r="D13" s="9">
        <v>33000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46262</v>
      </c>
      <c r="B14" s="7" t="s">
        <v>250</v>
      </c>
      <c r="C14" s="7" t="s">
        <v>253</v>
      </c>
      <c r="D14" s="9">
        <v>615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46263</v>
      </c>
      <c r="B15" s="7" t="s">
        <v>250</v>
      </c>
      <c r="C15" s="7" t="s">
        <v>253</v>
      </c>
      <c r="D15" s="9">
        <v>18000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46278</v>
      </c>
      <c r="B16" s="7" t="s">
        <v>250</v>
      </c>
      <c r="C16" s="7" t="s">
        <v>305</v>
      </c>
      <c r="D16" s="9">
        <v>30000</v>
      </c>
      <c r="E16" s="7" t="s">
        <v>254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46279</v>
      </c>
      <c r="B17" s="7" t="s">
        <v>250</v>
      </c>
      <c r="C17" s="7" t="s">
        <v>305</v>
      </c>
      <c r="D17" s="9">
        <v>8000</v>
      </c>
      <c r="E17" s="7" t="s">
        <v>254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46280</v>
      </c>
      <c r="B18" s="7" t="s">
        <v>250</v>
      </c>
      <c r="C18" s="7" t="s">
        <v>305</v>
      </c>
      <c r="D18" s="9">
        <v>20000</v>
      </c>
      <c r="E18" s="7" t="s">
        <v>254</v>
      </c>
      <c r="F18" s="11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46278</v>
      </c>
      <c r="B19" s="7" t="s">
        <v>270</v>
      </c>
      <c r="C19" s="7" t="s">
        <v>301</v>
      </c>
      <c r="D19" s="9">
        <v>62230</v>
      </c>
      <c r="E19" s="7" t="s">
        <v>303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46271</v>
      </c>
      <c r="B20" s="7" t="s">
        <v>250</v>
      </c>
      <c r="C20" s="7" t="s">
        <v>267</v>
      </c>
      <c r="D20" s="9">
        <v>60000</v>
      </c>
      <c r="E20" s="7" t="s">
        <v>268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46286</v>
      </c>
      <c r="B21" s="7" t="s">
        <v>250</v>
      </c>
      <c r="C21" s="7" t="s">
        <v>376</v>
      </c>
      <c r="D21" s="9">
        <v>27000</v>
      </c>
      <c r="E21" s="7" t="s">
        <v>379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46286</v>
      </c>
      <c r="B22" s="7" t="s">
        <v>270</v>
      </c>
      <c r="C22" s="7" t="s">
        <v>377</v>
      </c>
      <c r="D22" s="9">
        <v>16140</v>
      </c>
      <c r="E22" s="7" t="s">
        <v>379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46280</v>
      </c>
      <c r="B23" s="7" t="s">
        <v>250</v>
      </c>
      <c r="C23" s="7" t="s">
        <v>321</v>
      </c>
      <c r="D23" s="9">
        <v>40000</v>
      </c>
      <c r="E23" s="7" t="s">
        <v>327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46278</v>
      </c>
      <c r="B24" s="7" t="s">
        <v>270</v>
      </c>
      <c r="C24" s="7" t="s">
        <v>306</v>
      </c>
      <c r="D24" s="9">
        <v>43140</v>
      </c>
      <c r="E24" s="7" t="s">
        <v>307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46280</v>
      </c>
      <c r="B25" s="7" t="s">
        <v>250</v>
      </c>
      <c r="C25" s="7" t="s">
        <v>319</v>
      </c>
      <c r="D25" s="9">
        <v>60000</v>
      </c>
      <c r="E25" s="7" t="s">
        <v>333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46265</v>
      </c>
      <c r="B26" s="7" t="s">
        <v>250</v>
      </c>
      <c r="C26" s="7" t="s">
        <v>260</v>
      </c>
      <c r="D26" s="9">
        <v>50430</v>
      </c>
      <c r="E26" s="7" t="s">
        <v>262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46276</v>
      </c>
      <c r="B27" s="7" t="s">
        <v>250</v>
      </c>
      <c r="C27" s="7" t="s">
        <v>291</v>
      </c>
      <c r="D27" s="9">
        <v>28000</v>
      </c>
      <c r="E27" s="7" t="s">
        <v>298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46280</v>
      </c>
      <c r="B28" s="7" t="s">
        <v>250</v>
      </c>
      <c r="C28" s="7" t="s">
        <v>291</v>
      </c>
      <c r="D28" s="9">
        <v>15140</v>
      </c>
      <c r="E28" s="7" t="s">
        <v>298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46283</v>
      </c>
      <c r="B29" s="7" t="s">
        <v>250</v>
      </c>
      <c r="C29" s="7" t="s">
        <v>365</v>
      </c>
      <c r="D29" s="9">
        <v>50000</v>
      </c>
      <c r="E29" s="7" t="s">
        <v>403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46287</v>
      </c>
      <c r="B30" s="7" t="s">
        <v>250</v>
      </c>
      <c r="C30" s="7" t="s">
        <v>395</v>
      </c>
      <c r="D30" s="9">
        <v>30000</v>
      </c>
      <c r="E30" s="7" t="s">
        <v>401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46278</v>
      </c>
      <c r="B31" s="7" t="s">
        <v>250</v>
      </c>
      <c r="C31" s="7" t="s">
        <v>299</v>
      </c>
      <c r="D31" s="9">
        <v>50000</v>
      </c>
      <c r="E31" s="7" t="s">
        <v>302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46270</v>
      </c>
      <c r="B32" s="7" t="s">
        <v>270</v>
      </c>
      <c r="C32" s="7" t="s">
        <v>269</v>
      </c>
      <c r="D32" s="9">
        <v>79020</v>
      </c>
      <c r="E32" s="7" t="s">
        <v>275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46238</v>
      </c>
      <c r="B33" s="7" t="s">
        <v>250</v>
      </c>
      <c r="C33" s="7" t="s">
        <v>249</v>
      </c>
      <c r="D33" s="9">
        <v>48000</v>
      </c>
      <c r="E33" s="7" t="s">
        <v>251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46282</v>
      </c>
      <c r="B34" s="7" t="s">
        <v>250</v>
      </c>
      <c r="C34" s="7" t="s">
        <v>249</v>
      </c>
      <c r="D34" s="9">
        <v>35180</v>
      </c>
      <c r="E34" s="7" t="s">
        <v>251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46270</v>
      </c>
      <c r="B35" s="7" t="s">
        <v>270</v>
      </c>
      <c r="C35" s="7" t="s">
        <v>271</v>
      </c>
      <c r="D35" s="9">
        <v>42350</v>
      </c>
      <c r="E35" s="7" t="s">
        <v>274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46282</v>
      </c>
      <c r="B36" s="7" t="s">
        <v>270</v>
      </c>
      <c r="C36" s="7" t="s">
        <v>271</v>
      </c>
      <c r="D36" s="9">
        <v>40000</v>
      </c>
      <c r="E36" s="7" t="s">
        <v>274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46280</v>
      </c>
      <c r="B37" s="7" t="s">
        <v>250</v>
      </c>
      <c r="C37" s="11" t="s">
        <v>323</v>
      </c>
      <c r="D37" s="12">
        <v>40000</v>
      </c>
      <c r="E37" s="11" t="s">
        <v>328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46289</v>
      </c>
      <c r="B38" s="7" t="s">
        <v>250</v>
      </c>
      <c r="C38" s="7" t="s">
        <v>323</v>
      </c>
      <c r="D38" s="9">
        <v>88000</v>
      </c>
      <c r="E38" s="7" t="s">
        <v>328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46273</v>
      </c>
      <c r="B39" s="7" t="s">
        <v>250</v>
      </c>
      <c r="C39" s="7" t="s">
        <v>277</v>
      </c>
      <c r="D39" s="9">
        <v>33000</v>
      </c>
      <c r="E39" s="7" t="s">
        <v>282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46273</v>
      </c>
      <c r="B40" s="7" t="s">
        <v>270</v>
      </c>
      <c r="C40" s="7" t="s">
        <v>278</v>
      </c>
      <c r="D40" s="9">
        <v>6840</v>
      </c>
      <c r="E40" s="7" t="s">
        <v>282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46281</v>
      </c>
      <c r="B41" s="7" t="s">
        <v>270</v>
      </c>
      <c r="C41" s="7" t="s">
        <v>278</v>
      </c>
      <c r="D41" s="9">
        <v>5300</v>
      </c>
      <c r="E41" s="7" t="s">
        <v>282</v>
      </c>
      <c r="F41" s="11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46281</v>
      </c>
      <c r="B42" s="7" t="s">
        <v>270</v>
      </c>
      <c r="C42" s="7" t="s">
        <v>278</v>
      </c>
      <c r="D42" s="9">
        <v>5300</v>
      </c>
      <c r="E42" s="7" t="s">
        <v>282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46273</v>
      </c>
      <c r="B43" s="7" t="s">
        <v>270</v>
      </c>
      <c r="C43" s="7" t="s">
        <v>279</v>
      </c>
      <c r="D43" s="9">
        <v>200000</v>
      </c>
      <c r="E43" s="7" t="s">
        <v>281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46286</v>
      </c>
      <c r="B44" s="7" t="s">
        <v>270</v>
      </c>
      <c r="C44" s="7" t="s">
        <v>378</v>
      </c>
      <c r="D44" s="9">
        <v>56930</v>
      </c>
      <c r="E44" s="7" t="s">
        <v>384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46264</v>
      </c>
      <c r="B45" s="7" t="s">
        <v>250</v>
      </c>
      <c r="C45" s="7" t="s">
        <v>256</v>
      </c>
      <c r="D45" s="9">
        <v>51930</v>
      </c>
      <c r="E45" s="7" t="s">
        <v>257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46279</v>
      </c>
      <c r="B46" s="7" t="s">
        <v>270</v>
      </c>
      <c r="C46" s="7" t="s">
        <v>312</v>
      </c>
      <c r="D46" s="9">
        <v>25000</v>
      </c>
      <c r="E46" s="7" t="s">
        <v>313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46280</v>
      </c>
      <c r="B47" s="7" t="s">
        <v>250</v>
      </c>
      <c r="C47" s="7" t="s">
        <v>342</v>
      </c>
      <c r="D47" s="9">
        <v>50000</v>
      </c>
      <c r="E47" s="7" t="s">
        <v>343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46288</v>
      </c>
      <c r="B48" s="7" t="s">
        <v>250</v>
      </c>
      <c r="C48" s="7" t="s">
        <v>397</v>
      </c>
      <c r="D48" s="9">
        <v>100000</v>
      </c>
      <c r="E48" s="7" t="s">
        <v>400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46280</v>
      </c>
      <c r="B49" s="7" t="s">
        <v>250</v>
      </c>
      <c r="C49" s="7" t="s">
        <v>314</v>
      </c>
      <c r="D49" s="9">
        <v>30000</v>
      </c>
      <c r="E49" s="7" t="s">
        <v>369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10">
        <v>46271</v>
      </c>
      <c r="B50" s="11" t="s">
        <v>250</v>
      </c>
      <c r="C50" s="11" t="s">
        <v>276</v>
      </c>
      <c r="D50" s="12">
        <v>20000</v>
      </c>
      <c r="E50" s="11" t="s">
        <v>283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46278</v>
      </c>
      <c r="B51" s="7" t="s">
        <v>250</v>
      </c>
      <c r="C51" s="7" t="s">
        <v>276</v>
      </c>
      <c r="D51" s="9">
        <v>9640</v>
      </c>
      <c r="E51" s="7" t="s">
        <v>283</v>
      </c>
      <c r="F51" s="7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46280</v>
      </c>
      <c r="B52" s="7" t="s">
        <v>250</v>
      </c>
      <c r="C52" s="7" t="s">
        <v>339</v>
      </c>
      <c r="D52" s="9">
        <v>65160</v>
      </c>
      <c r="E52" s="7" t="s">
        <v>340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46280</v>
      </c>
      <c r="B53" s="7" t="s">
        <v>250</v>
      </c>
      <c r="C53" s="7" t="s">
        <v>339</v>
      </c>
      <c r="D53" s="9">
        <v>35890</v>
      </c>
      <c r="E53" s="7" t="s">
        <v>341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46280</v>
      </c>
      <c r="B54" s="7" t="s">
        <v>250</v>
      </c>
      <c r="C54" s="7" t="s">
        <v>344</v>
      </c>
      <c r="D54" s="9">
        <v>50000</v>
      </c>
      <c r="E54" s="7" t="s">
        <v>347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46279</v>
      </c>
      <c r="B55" s="7" t="s">
        <v>250</v>
      </c>
      <c r="C55" s="7" t="s">
        <v>308</v>
      </c>
      <c r="D55" s="9">
        <v>116000</v>
      </c>
      <c r="E55" s="7" t="s">
        <v>363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46287</v>
      </c>
      <c r="B56" s="7" t="s">
        <v>250</v>
      </c>
      <c r="C56" s="7" t="s">
        <v>394</v>
      </c>
      <c r="D56" s="9">
        <v>22000</v>
      </c>
      <c r="E56" s="7" t="s">
        <v>404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46284</v>
      </c>
      <c r="B57" s="7" t="s">
        <v>250</v>
      </c>
      <c r="C57" s="7" t="s">
        <v>370</v>
      </c>
      <c r="D57" s="9">
        <v>50000</v>
      </c>
      <c r="E57" s="7" t="s">
        <v>382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46285</v>
      </c>
      <c r="B58" s="7" t="s">
        <v>250</v>
      </c>
      <c r="C58" s="7" t="s">
        <v>370</v>
      </c>
      <c r="D58" s="9">
        <v>50000</v>
      </c>
      <c r="E58" s="7" t="s">
        <v>382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46286</v>
      </c>
      <c r="B59" s="7" t="s">
        <v>250</v>
      </c>
      <c r="C59" s="7" t="s">
        <v>375</v>
      </c>
      <c r="D59" s="9">
        <v>50000</v>
      </c>
      <c r="E59" s="7" t="s">
        <v>381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46277</v>
      </c>
      <c r="B60" s="7" t="s">
        <v>250</v>
      </c>
      <c r="C60" s="7" t="s">
        <v>292</v>
      </c>
      <c r="D60" s="9">
        <v>95000</v>
      </c>
      <c r="E60" s="7" t="s">
        <v>293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46280</v>
      </c>
      <c r="B61" s="7" t="s">
        <v>250</v>
      </c>
      <c r="C61" s="7" t="s">
        <v>322</v>
      </c>
      <c r="D61" s="9">
        <v>27900</v>
      </c>
      <c r="E61" s="7" t="s">
        <v>324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46275</v>
      </c>
      <c r="B62" s="7" t="s">
        <v>250</v>
      </c>
      <c r="C62" s="7" t="s">
        <v>286</v>
      </c>
      <c r="D62" s="9">
        <v>24700</v>
      </c>
      <c r="E62" s="7" t="s">
        <v>287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46279</v>
      </c>
      <c r="B63" s="7" t="s">
        <v>250</v>
      </c>
      <c r="C63" s="7" t="s">
        <v>286</v>
      </c>
      <c r="D63" s="9">
        <v>20000</v>
      </c>
      <c r="E63" s="7" t="s">
        <v>287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46288</v>
      </c>
      <c r="B64" s="7" t="s">
        <v>250</v>
      </c>
      <c r="C64" s="7" t="s">
        <v>398</v>
      </c>
      <c r="D64" s="9">
        <v>124270</v>
      </c>
      <c r="E64" s="7" t="s">
        <v>399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10">
        <v>46275</v>
      </c>
      <c r="B65" s="11" t="s">
        <v>250</v>
      </c>
      <c r="C65" s="11" t="s">
        <v>285</v>
      </c>
      <c r="D65" s="12">
        <v>33140</v>
      </c>
      <c r="E65" s="11" t="s">
        <v>284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8">
        <v>46286</v>
      </c>
      <c r="B66" s="7" t="s">
        <v>250</v>
      </c>
      <c r="C66" s="7" t="s">
        <v>374</v>
      </c>
      <c r="D66" s="9">
        <v>80000</v>
      </c>
      <c r="E66" s="7" t="s">
        <v>402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46270</v>
      </c>
      <c r="B67" s="7" t="s">
        <v>270</v>
      </c>
      <c r="C67" s="7" t="s">
        <v>272</v>
      </c>
      <c r="D67" s="9">
        <v>50000</v>
      </c>
      <c r="E67" s="7" t="s">
        <v>273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46280</v>
      </c>
      <c r="B68" s="7" t="s">
        <v>250</v>
      </c>
      <c r="C68" s="7" t="s">
        <v>315</v>
      </c>
      <c r="D68" s="9">
        <v>100000</v>
      </c>
      <c r="E68" s="7" t="s">
        <v>329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8">
        <v>46285</v>
      </c>
      <c r="B69" s="7" t="s">
        <v>250</v>
      </c>
      <c r="C69" s="7" t="s">
        <v>371</v>
      </c>
      <c r="D69" s="9">
        <v>50000</v>
      </c>
      <c r="E69" s="7" t="s">
        <v>383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46277</v>
      </c>
      <c r="B70" s="7" t="s">
        <v>250</v>
      </c>
      <c r="C70" s="7" t="s">
        <v>294</v>
      </c>
      <c r="D70" s="9">
        <v>10000</v>
      </c>
      <c r="E70" s="7" t="s">
        <v>297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46280</v>
      </c>
      <c r="B71" s="7" t="s">
        <v>250</v>
      </c>
      <c r="C71" s="7" t="s">
        <v>317</v>
      </c>
      <c r="D71" s="9">
        <v>44140</v>
      </c>
      <c r="E71" s="7" t="s">
        <v>348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46266</v>
      </c>
      <c r="B72" s="7" t="s">
        <v>250</v>
      </c>
      <c r="C72" s="7" t="s">
        <v>263</v>
      </c>
      <c r="D72" s="9">
        <v>50000</v>
      </c>
      <c r="E72" s="7" t="s">
        <v>264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46281</v>
      </c>
      <c r="B73" s="7" t="s">
        <v>250</v>
      </c>
      <c r="C73" s="7" t="s">
        <v>345</v>
      </c>
      <c r="D73" s="9">
        <v>20000</v>
      </c>
      <c r="E73" s="7" t="s">
        <v>346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46286</v>
      </c>
      <c r="B74" s="7" t="s">
        <v>250</v>
      </c>
      <c r="C74" s="7" t="s">
        <v>345</v>
      </c>
      <c r="D74" s="9">
        <v>10000</v>
      </c>
      <c r="E74" s="7" t="s">
        <v>346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46279</v>
      </c>
      <c r="B75" s="7" t="s">
        <v>250</v>
      </c>
      <c r="C75" s="7" t="s">
        <v>309</v>
      </c>
      <c r="D75" s="9">
        <v>36050</v>
      </c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46279</v>
      </c>
      <c r="B76" s="7" t="s">
        <v>250</v>
      </c>
      <c r="C76" s="7" t="s">
        <v>310</v>
      </c>
      <c r="D76" s="9">
        <v>100000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A77" s="8">
        <v>46279</v>
      </c>
      <c r="B77" s="7" t="s">
        <v>270</v>
      </c>
      <c r="C77" s="7" t="s">
        <v>311</v>
      </c>
      <c r="D77" s="9">
        <v>20180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A78" s="8">
        <v>46280</v>
      </c>
      <c r="B78" s="7" t="s">
        <v>250</v>
      </c>
      <c r="C78" s="11" t="s">
        <v>316</v>
      </c>
      <c r="D78" s="12">
        <v>10000</v>
      </c>
      <c r="E78" s="1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A79" s="8">
        <v>46281</v>
      </c>
      <c r="B79" s="7" t="s">
        <v>250</v>
      </c>
      <c r="C79" s="7" t="s">
        <v>316</v>
      </c>
      <c r="D79" s="9">
        <v>10000</v>
      </c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A80" s="8">
        <v>46282</v>
      </c>
      <c r="B80" s="7" t="s">
        <v>250</v>
      </c>
      <c r="C80" s="7" t="s">
        <v>364</v>
      </c>
      <c r="D80" s="9">
        <v>40000</v>
      </c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s="8" customFormat="1" x14ac:dyDescent="0.25">
      <c r="A81" s="8">
        <v>46286</v>
      </c>
      <c r="B81" s="7" t="s">
        <v>250</v>
      </c>
      <c r="C81" s="7" t="s">
        <v>372</v>
      </c>
      <c r="D81" s="9">
        <v>90000</v>
      </c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s="8" customFormat="1" x14ac:dyDescent="0.25">
      <c r="A82" s="8">
        <v>46288</v>
      </c>
      <c r="B82" s="7" t="s">
        <v>250</v>
      </c>
      <c r="C82" s="7" t="s">
        <v>396</v>
      </c>
      <c r="D82" s="9">
        <v>40000</v>
      </c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82">
    <sortCondition ref="E2:E82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ACCOUNT'!AC139</f>
        <v>42000</v>
      </c>
      <c r="C2" s="15">
        <f>B2*0.7</f>
        <v>29399.999999999996</v>
      </c>
      <c r="D2" s="15"/>
      <c r="E2" s="16"/>
      <c r="F2" s="15">
        <f>$C$2-D2</f>
        <v>29399.999999999996</v>
      </c>
    </row>
    <row r="3" spans="1:8" x14ac:dyDescent="0.25">
      <c r="A3" s="4" t="s">
        <v>229</v>
      </c>
      <c r="B3" s="15">
        <f>SUMIF('1ST TERM ACCOUNT'!T11:T138,6000)</f>
        <v>198000</v>
      </c>
      <c r="C3" s="15"/>
      <c r="D3" s="15"/>
      <c r="E3" s="16"/>
      <c r="F3" s="15">
        <f>$C$2-(D2+D3)</f>
        <v>29399.999999999996</v>
      </c>
    </row>
    <row r="4" spans="1:8" x14ac:dyDescent="0.25">
      <c r="A4" s="4" t="s">
        <v>228</v>
      </c>
      <c r="B4" s="15">
        <f>B3-B2</f>
        <v>156000</v>
      </c>
      <c r="C4" s="15"/>
      <c r="D4" s="15"/>
      <c r="E4" s="16"/>
      <c r="F4" s="15">
        <f>$C$2-(D2+D3+D4)</f>
        <v>29399.999999999996</v>
      </c>
    </row>
    <row r="5" spans="1:8" x14ac:dyDescent="0.25">
      <c r="B5" s="15"/>
      <c r="C5" s="15"/>
      <c r="D5" s="15"/>
      <c r="E5" s="16"/>
      <c r="F5" s="15">
        <f>$C$2-(D2+D3+D4+D5)</f>
        <v>29399.999999999996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ACCOUNT'!AD139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ACCOUNT'!T11:T138,8000)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ACCOUNT'!AE139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ACCOUNT'!W11:W138)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2026-09-24T19:19:35Z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