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12EF9B45-0C21-4664-9312-7EC81E0C373A}" xr6:coauthVersionLast="47" xr6:coauthVersionMax="47" xr10:uidLastSave="{00000000-0000-0000-0000-000000000000}"/>
  <bookViews>
    <workbookView xWindow="-120" yWindow="-120" windowWidth="24240" windowHeight="13020" tabRatio="781" activeTab="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4" l="1"/>
  <c r="AD3" i="14"/>
  <c r="AE3" i="14"/>
  <c r="AF3" i="14"/>
  <c r="AC4" i="14"/>
  <c r="AD4" i="14"/>
  <c r="AE4" i="14"/>
  <c r="AF4" i="14"/>
  <c r="AC5" i="14"/>
  <c r="AD5" i="14"/>
  <c r="AE5" i="14"/>
  <c r="AF5" i="14"/>
  <c r="AC6" i="14"/>
  <c r="AD6" i="14"/>
  <c r="AE6" i="14"/>
  <c r="AF6" i="14"/>
  <c r="AC7" i="14"/>
  <c r="AD7" i="14"/>
  <c r="AE7" i="14"/>
  <c r="AF7" i="14"/>
  <c r="AC8" i="14"/>
  <c r="AD8" i="14"/>
  <c r="AE8" i="14"/>
  <c r="AF8" i="14"/>
  <c r="AC9" i="14"/>
  <c r="AD9" i="14"/>
  <c r="AE9" i="14"/>
  <c r="AF9" i="14"/>
  <c r="AC10" i="14"/>
  <c r="AD10" i="14"/>
  <c r="AE10" i="14"/>
  <c r="AF10" i="14"/>
  <c r="AC11" i="14"/>
  <c r="AD11" i="14"/>
  <c r="AE11" i="14"/>
  <c r="AF11" i="14"/>
  <c r="AC12" i="14"/>
  <c r="AD12" i="14"/>
  <c r="AE12" i="14"/>
  <c r="AF12" i="14"/>
  <c r="AC13" i="14"/>
  <c r="AD13" i="14"/>
  <c r="AE13" i="14"/>
  <c r="AF13" i="14"/>
  <c r="AC14" i="14"/>
  <c r="AD14" i="14"/>
  <c r="AE14" i="14"/>
  <c r="AF14" i="14"/>
  <c r="AC16" i="14"/>
  <c r="AD16" i="14"/>
  <c r="AE16" i="14"/>
  <c r="AF16" i="14"/>
  <c r="AC17" i="14"/>
  <c r="AD17" i="14"/>
  <c r="AE17" i="14"/>
  <c r="AF17" i="14"/>
  <c r="AC18" i="14"/>
  <c r="AD18" i="14"/>
  <c r="AE18" i="14"/>
  <c r="AF18" i="14"/>
  <c r="AC19" i="14"/>
  <c r="AD19" i="14"/>
  <c r="AE19" i="14"/>
  <c r="AF19" i="14"/>
  <c r="AC20" i="14"/>
  <c r="AD20" i="14"/>
  <c r="AE20" i="14"/>
  <c r="AF20" i="14"/>
  <c r="AC21" i="14"/>
  <c r="AD21" i="14"/>
  <c r="AE21" i="14"/>
  <c r="AF21" i="14"/>
  <c r="AC22" i="14"/>
  <c r="AD22" i="14"/>
  <c r="AE22" i="14"/>
  <c r="AF22" i="14"/>
  <c r="AC23" i="14"/>
  <c r="AD23" i="14"/>
  <c r="AE23" i="14"/>
  <c r="AF23" i="14"/>
  <c r="AC24" i="14"/>
  <c r="AD24" i="14"/>
  <c r="AE24" i="14"/>
  <c r="AF24" i="14"/>
  <c r="AC26" i="14"/>
  <c r="AD26" i="14"/>
  <c r="AE26" i="14"/>
  <c r="AF26" i="14"/>
  <c r="AC27" i="14"/>
  <c r="AD27" i="14"/>
  <c r="AE27" i="14"/>
  <c r="AF27" i="14"/>
  <c r="AC28" i="14"/>
  <c r="AD28" i="14"/>
  <c r="AE28" i="14"/>
  <c r="AF28" i="14"/>
  <c r="AC29" i="14"/>
  <c r="AD29" i="14"/>
  <c r="AE29" i="14"/>
  <c r="AF29" i="14"/>
  <c r="AC30" i="14"/>
  <c r="AD30" i="14"/>
  <c r="AE30" i="14"/>
  <c r="AF30" i="14"/>
  <c r="AC31" i="14"/>
  <c r="AD31" i="14"/>
  <c r="AE31" i="14"/>
  <c r="AF31" i="14"/>
  <c r="AC32" i="14"/>
  <c r="AD32" i="14"/>
  <c r="AE32" i="14"/>
  <c r="AF32" i="14"/>
  <c r="AC33" i="14"/>
  <c r="AD33" i="14"/>
  <c r="AE33" i="14"/>
  <c r="AF33" i="14"/>
  <c r="AC34" i="14"/>
  <c r="AD34" i="14"/>
  <c r="AE34" i="14"/>
  <c r="AF34" i="14"/>
  <c r="AC35" i="14"/>
  <c r="AD35" i="14"/>
  <c r="AE35" i="14"/>
  <c r="AF35" i="14"/>
  <c r="AC36" i="14"/>
  <c r="AD36" i="14"/>
  <c r="AE36" i="14"/>
  <c r="AF36" i="14"/>
  <c r="AC37" i="14"/>
  <c r="AD37" i="14"/>
  <c r="AE37" i="14"/>
  <c r="AF37" i="14"/>
  <c r="AC38" i="14"/>
  <c r="AD38" i="14"/>
  <c r="AE38" i="14"/>
  <c r="AF38" i="14"/>
  <c r="AC39" i="14"/>
  <c r="AD39" i="14"/>
  <c r="AE39" i="14"/>
  <c r="AF39" i="14"/>
  <c r="AC40" i="14"/>
  <c r="AD40" i="14"/>
  <c r="AE40" i="14"/>
  <c r="AF40" i="14"/>
  <c r="AC41" i="14"/>
  <c r="AD41" i="14"/>
  <c r="AE41" i="14"/>
  <c r="AF41" i="14"/>
  <c r="AC42" i="14"/>
  <c r="AD42" i="14"/>
  <c r="AE42" i="14"/>
  <c r="AF42" i="14"/>
  <c r="AC43" i="14"/>
  <c r="AD43" i="14"/>
  <c r="AE43" i="14"/>
  <c r="AF43" i="14"/>
  <c r="AC44" i="14"/>
  <c r="AD44" i="14"/>
  <c r="AE44" i="14"/>
  <c r="AF44" i="14"/>
  <c r="AC45" i="14"/>
  <c r="AD45" i="14"/>
  <c r="AE45" i="14"/>
  <c r="AF45" i="14"/>
  <c r="AC46" i="14"/>
  <c r="AD46" i="14"/>
  <c r="AE46" i="14"/>
  <c r="AF46" i="14"/>
  <c r="AC47" i="14"/>
  <c r="AD47" i="14"/>
  <c r="AE47" i="14"/>
  <c r="AF47" i="14"/>
  <c r="AC50" i="14"/>
  <c r="AD50" i="14"/>
  <c r="AE50" i="14"/>
  <c r="AF50" i="14"/>
  <c r="AC51" i="14"/>
  <c r="AD51" i="14"/>
  <c r="AE51" i="14"/>
  <c r="AF51" i="14"/>
  <c r="AC52" i="14"/>
  <c r="AD52" i="14"/>
  <c r="AE52" i="14"/>
  <c r="AF52" i="14"/>
  <c r="AC53" i="14"/>
  <c r="AD53" i="14"/>
  <c r="AE53" i="14"/>
  <c r="AF53" i="14"/>
  <c r="AC54" i="14"/>
  <c r="AD54" i="14"/>
  <c r="AE54" i="14"/>
  <c r="AF54" i="14"/>
  <c r="AC55" i="14"/>
  <c r="AD55" i="14"/>
  <c r="AE55" i="14"/>
  <c r="AF55" i="14"/>
  <c r="AC56" i="14"/>
  <c r="AD56" i="14"/>
  <c r="AE56" i="14"/>
  <c r="AF56" i="14"/>
  <c r="AC57" i="14"/>
  <c r="AD57" i="14"/>
  <c r="AE57" i="14"/>
  <c r="AF57" i="14"/>
  <c r="AC58" i="14"/>
  <c r="AD58" i="14"/>
  <c r="AE58" i="14"/>
  <c r="AF58" i="14"/>
  <c r="AC59" i="14"/>
  <c r="AD59" i="14"/>
  <c r="AE59" i="14"/>
  <c r="AF59" i="14"/>
  <c r="AC60" i="14"/>
  <c r="AD60" i="14"/>
  <c r="AE60" i="14"/>
  <c r="AF60" i="14"/>
  <c r="AC61" i="14"/>
  <c r="AD61" i="14"/>
  <c r="AE61" i="14"/>
  <c r="AF61" i="14"/>
  <c r="AC62" i="14"/>
  <c r="AD62" i="14"/>
  <c r="AE62" i="14"/>
  <c r="AF62" i="14"/>
  <c r="AC63" i="14"/>
  <c r="AD63" i="14"/>
  <c r="AE63" i="14"/>
  <c r="AF63" i="14"/>
  <c r="AC64" i="14"/>
  <c r="AD64" i="14"/>
  <c r="AE64" i="14"/>
  <c r="AF64" i="14"/>
  <c r="AC65" i="14"/>
  <c r="AD65" i="14"/>
  <c r="AE65" i="14"/>
  <c r="AF65" i="14"/>
  <c r="AC66" i="14"/>
  <c r="AD66" i="14"/>
  <c r="AE66" i="14"/>
  <c r="AF66" i="14"/>
  <c r="AC67" i="14"/>
  <c r="AD67" i="14"/>
  <c r="AE67" i="14"/>
  <c r="AF67" i="14"/>
  <c r="AC68" i="14"/>
  <c r="AD68" i="14"/>
  <c r="AE68" i="14"/>
  <c r="AF68" i="14"/>
  <c r="AC69" i="14"/>
  <c r="AD69" i="14"/>
  <c r="AE69" i="14"/>
  <c r="AF69" i="14"/>
  <c r="AC70" i="14"/>
  <c r="AD70" i="14"/>
  <c r="AE70" i="14"/>
  <c r="AF70" i="14"/>
  <c r="AC71" i="14"/>
  <c r="AD71" i="14"/>
  <c r="AE71" i="14"/>
  <c r="AF71" i="14"/>
  <c r="AC72" i="14"/>
  <c r="AD72" i="14"/>
  <c r="AE72" i="14"/>
  <c r="AF72" i="14"/>
  <c r="AC73" i="14"/>
  <c r="AD73" i="14"/>
  <c r="AE73" i="14"/>
  <c r="AF73" i="14"/>
  <c r="AC74" i="14"/>
  <c r="AD74" i="14"/>
  <c r="AE74" i="14"/>
  <c r="AF74" i="14"/>
  <c r="AC75" i="14"/>
  <c r="AD75" i="14"/>
  <c r="AE75" i="14"/>
  <c r="AF75" i="14"/>
  <c r="AC76" i="14"/>
  <c r="AD76" i="14"/>
  <c r="AE76" i="14"/>
  <c r="AF76" i="14"/>
  <c r="AC77" i="14"/>
  <c r="AD77" i="14"/>
  <c r="AE77" i="14"/>
  <c r="AF77" i="14"/>
  <c r="AC78" i="14"/>
  <c r="AD78" i="14"/>
  <c r="AE78" i="14"/>
  <c r="AF78" i="14"/>
  <c r="AC80" i="14"/>
  <c r="AD80" i="14"/>
  <c r="AE80" i="14"/>
  <c r="AF80" i="14"/>
  <c r="AC81" i="14"/>
  <c r="AD81" i="14"/>
  <c r="AE81" i="14"/>
  <c r="AF81" i="14"/>
  <c r="AC82" i="14"/>
  <c r="AD82" i="14"/>
  <c r="AE82" i="14"/>
  <c r="AF82" i="14"/>
  <c r="AC83" i="14"/>
  <c r="AD83" i="14"/>
  <c r="AE83" i="14"/>
  <c r="AF83" i="14"/>
  <c r="AC85" i="14"/>
  <c r="AD85" i="14"/>
  <c r="AE85" i="14"/>
  <c r="AF85" i="14"/>
  <c r="AC86" i="14"/>
  <c r="AD86" i="14"/>
  <c r="AE86" i="14"/>
  <c r="AF86" i="14"/>
  <c r="AC87" i="14"/>
  <c r="AD87" i="14"/>
  <c r="AE87" i="14"/>
  <c r="AF87" i="14"/>
  <c r="AC88" i="14"/>
  <c r="AD88" i="14"/>
  <c r="AE88" i="14"/>
  <c r="AF88" i="14"/>
  <c r="AC89" i="14"/>
  <c r="AD89" i="14"/>
  <c r="AE89" i="14"/>
  <c r="AF89" i="14"/>
  <c r="AC90" i="14"/>
  <c r="AD90" i="14"/>
  <c r="AE90" i="14"/>
  <c r="AF90" i="14"/>
  <c r="AC91" i="14"/>
  <c r="AD91" i="14"/>
  <c r="AE91" i="14"/>
  <c r="AF91" i="14"/>
  <c r="AC92" i="14"/>
  <c r="AD92" i="14"/>
  <c r="AE92" i="14"/>
  <c r="AF92" i="14"/>
  <c r="AC93" i="14"/>
  <c r="AD93" i="14"/>
  <c r="AE93" i="14"/>
  <c r="AF93" i="14"/>
  <c r="AC94" i="14"/>
  <c r="AD94" i="14"/>
  <c r="AE94" i="14"/>
  <c r="AF94" i="14"/>
  <c r="AC95" i="14"/>
  <c r="AD95" i="14"/>
  <c r="AE95" i="14"/>
  <c r="AF95" i="14"/>
  <c r="AC96" i="14"/>
  <c r="AD96" i="14"/>
  <c r="AE96" i="14"/>
  <c r="AF96" i="14"/>
  <c r="AC97" i="14"/>
  <c r="AD97" i="14"/>
  <c r="AE97" i="14"/>
  <c r="AF97" i="14"/>
  <c r="AC98" i="14"/>
  <c r="AD98" i="14"/>
  <c r="AE98" i="14"/>
  <c r="AF98" i="14"/>
  <c r="AC99" i="14"/>
  <c r="AD99" i="14"/>
  <c r="AE99" i="14"/>
  <c r="AF99" i="14"/>
  <c r="AC102" i="14"/>
  <c r="AD102" i="14"/>
  <c r="AE102" i="14"/>
  <c r="AF102" i="14"/>
  <c r="AC103" i="14"/>
  <c r="AD103" i="14"/>
  <c r="AE103" i="14"/>
  <c r="AF103" i="14"/>
  <c r="AC104" i="14"/>
  <c r="AD104" i="14"/>
  <c r="AE104" i="14"/>
  <c r="AF104" i="14"/>
  <c r="AC105" i="14"/>
  <c r="AD105" i="14"/>
  <c r="AE105" i="14"/>
  <c r="AF105" i="14"/>
  <c r="AC107" i="14"/>
  <c r="AD107" i="14"/>
  <c r="AE107" i="14"/>
  <c r="AF107" i="14"/>
  <c r="AC108" i="14"/>
  <c r="AD108" i="14"/>
  <c r="AE108" i="14"/>
  <c r="AF108" i="14"/>
  <c r="AC109" i="14"/>
  <c r="AD109" i="14"/>
  <c r="AE109" i="14"/>
  <c r="AF109" i="14"/>
  <c r="AC110" i="14"/>
  <c r="AD110" i="14"/>
  <c r="AE110" i="14"/>
  <c r="AF110" i="14"/>
  <c r="AC111" i="14"/>
  <c r="AD111" i="14"/>
  <c r="AE111" i="14"/>
  <c r="AF111" i="14"/>
  <c r="AC112" i="14"/>
  <c r="AD112" i="14"/>
  <c r="AE112" i="14"/>
  <c r="AF112" i="14"/>
  <c r="AC113" i="14"/>
  <c r="AD113" i="14"/>
  <c r="AE113" i="14"/>
  <c r="AF113" i="14"/>
  <c r="AC114" i="14"/>
  <c r="AD114" i="14"/>
  <c r="AE114" i="14"/>
  <c r="AF114" i="14"/>
  <c r="AC115" i="14"/>
  <c r="AD115" i="14"/>
  <c r="AE115" i="14"/>
  <c r="AF115" i="14"/>
  <c r="AC116" i="14"/>
  <c r="AD116" i="14"/>
  <c r="AE116" i="14"/>
  <c r="AF116" i="14"/>
  <c r="AC117" i="14"/>
  <c r="AD117" i="14"/>
  <c r="AE117" i="14"/>
  <c r="AF117" i="14"/>
  <c r="AC118" i="14"/>
  <c r="AD118" i="14"/>
  <c r="AE118" i="14"/>
  <c r="AF118" i="14"/>
  <c r="AC119" i="14"/>
  <c r="AD119" i="14"/>
  <c r="AE119" i="14"/>
  <c r="AF119" i="14"/>
  <c r="AC120" i="14"/>
  <c r="AD120" i="14"/>
  <c r="AE120" i="14"/>
  <c r="AF120" i="14"/>
  <c r="AF2" i="14"/>
  <c r="O121" i="14"/>
  <c r="P121" i="14"/>
  <c r="Q121" i="14"/>
  <c r="R121" i="14"/>
  <c r="S121" i="14"/>
  <c r="T121" i="14"/>
  <c r="U121" i="14"/>
  <c r="V121" i="14"/>
  <c r="W121" i="14"/>
  <c r="X121" i="14"/>
  <c r="Y121" i="14"/>
  <c r="AA121" i="14"/>
  <c r="N58" i="14"/>
  <c r="M58" i="14"/>
  <c r="L58" i="14"/>
  <c r="K58" i="14"/>
  <c r="J58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4" i="14"/>
  <c r="M104" i="14"/>
  <c r="L104" i="14"/>
  <c r="K104" i="14"/>
  <c r="J104" i="14"/>
  <c r="J3" i="14"/>
  <c r="K3" i="14"/>
  <c r="L3" i="14"/>
  <c r="M3" i="14"/>
  <c r="N3" i="14"/>
  <c r="J75" i="14"/>
  <c r="K75" i="14"/>
  <c r="L75" i="14"/>
  <c r="M75" i="14"/>
  <c r="N75" i="14"/>
  <c r="J2" i="14"/>
  <c r="K2" i="14"/>
  <c r="L2" i="14"/>
  <c r="M2" i="14"/>
  <c r="N2" i="14"/>
  <c r="L28" i="14"/>
  <c r="L31" i="14"/>
  <c r="L36" i="14"/>
  <c r="L39" i="14"/>
  <c r="L54" i="14"/>
  <c r="L64" i="14"/>
  <c r="L68" i="14"/>
  <c r="L70" i="14"/>
  <c r="L72" i="14"/>
  <c r="L80" i="14"/>
  <c r="L81" i="14"/>
  <c r="L83" i="14"/>
  <c r="L86" i="14"/>
  <c r="L96" i="14"/>
  <c r="L114" i="14"/>
  <c r="L118" i="14"/>
  <c r="L11" i="14"/>
  <c r="L22" i="14"/>
  <c r="L25" i="14"/>
  <c r="L63" i="14"/>
  <c r="L76" i="14"/>
  <c r="L21" i="14"/>
  <c r="L26" i="14"/>
  <c r="L40" i="14"/>
  <c r="L41" i="14"/>
  <c r="L43" i="14"/>
  <c r="L44" i="14"/>
  <c r="L50" i="14"/>
  <c r="L61" i="14"/>
  <c r="L95" i="14"/>
  <c r="L99" i="14"/>
  <c r="L115" i="14"/>
  <c r="L12" i="14"/>
  <c r="L5" i="14"/>
  <c r="L13" i="14"/>
  <c r="L16" i="14"/>
  <c r="L34" i="14"/>
  <c r="L47" i="14"/>
  <c r="L69" i="14"/>
  <c r="L102" i="14"/>
  <c r="L105" i="14"/>
  <c r="L106" i="14"/>
  <c r="L19" i="14"/>
  <c r="L49" i="14"/>
  <c r="L56" i="14"/>
  <c r="L59" i="14"/>
  <c r="L84" i="14"/>
  <c r="L89" i="14"/>
  <c r="L91" i="14"/>
  <c r="L94" i="14"/>
  <c r="L112" i="14"/>
  <c r="L6" i="14"/>
  <c r="L8" i="14"/>
  <c r="L9" i="14"/>
  <c r="L18" i="14"/>
  <c r="L27" i="14"/>
  <c r="L29" i="14"/>
  <c r="L53" i="14"/>
  <c r="L93" i="14"/>
  <c r="L111" i="14"/>
  <c r="L119" i="14"/>
  <c r="L7" i="14"/>
  <c r="L33" i="14"/>
  <c r="L37" i="14"/>
  <c r="L55" i="14"/>
  <c r="L57" i="14"/>
  <c r="L65" i="14"/>
  <c r="L66" i="14"/>
  <c r="L71" i="14"/>
  <c r="L73" i="14"/>
  <c r="L79" i="14"/>
  <c r="L85" i="14"/>
  <c r="L87" i="14"/>
  <c r="L88" i="14"/>
  <c r="L97" i="14"/>
  <c r="L100" i="14"/>
  <c r="L107" i="14"/>
  <c r="L120" i="14"/>
  <c r="L23" i="14"/>
  <c r="L24" i="14"/>
  <c r="L35" i="14"/>
  <c r="L51" i="14"/>
  <c r="L98" i="14"/>
  <c r="L108" i="14"/>
  <c r="L117" i="14"/>
  <c r="L10" i="14"/>
  <c r="L14" i="14"/>
  <c r="L17" i="14"/>
  <c r="L60" i="14"/>
  <c r="L74" i="14"/>
  <c r="L77" i="14"/>
  <c r="L90" i="14"/>
  <c r="L101" i="14"/>
  <c r="L103" i="14"/>
  <c r="L62" i="14"/>
  <c r="L67" i="14"/>
  <c r="L92" i="14"/>
  <c r="L113" i="14"/>
  <c r="L20" i="14"/>
  <c r="L48" i="14"/>
  <c r="L52" i="14"/>
  <c r="L109" i="14"/>
  <c r="L4" i="14"/>
  <c r="L30" i="14"/>
  <c r="L42" i="14"/>
  <c r="L45" i="14"/>
  <c r="L78" i="14"/>
  <c r="L110" i="14"/>
  <c r="L116" i="14"/>
  <c r="L82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5" i="14"/>
  <c r="M56" i="14"/>
  <c r="M57" i="14"/>
  <c r="M59" i="14"/>
  <c r="M60" i="14"/>
  <c r="M61" i="14"/>
  <c r="M62" i="14"/>
  <c r="M63" i="14"/>
  <c r="M64" i="14"/>
  <c r="M65" i="14"/>
  <c r="M66" i="14"/>
  <c r="M67" i="14"/>
  <c r="M68" i="14"/>
  <c r="M70" i="14"/>
  <c r="M69" i="14"/>
  <c r="M72" i="14"/>
  <c r="M71" i="14"/>
  <c r="M73" i="14"/>
  <c r="M74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9" i="14"/>
  <c r="M88" i="14"/>
  <c r="M90" i="14"/>
  <c r="M91" i="14"/>
  <c r="M92" i="14"/>
  <c r="M94" i="14"/>
  <c r="M93" i="14"/>
  <c r="M95" i="14"/>
  <c r="M96" i="14"/>
  <c r="M97" i="14"/>
  <c r="M98" i="14"/>
  <c r="M99" i="14"/>
  <c r="M100" i="14"/>
  <c r="M101" i="14"/>
  <c r="M102" i="14"/>
  <c r="M103" i="14"/>
  <c r="M105" i="14"/>
  <c r="M106" i="14"/>
  <c r="M107" i="14"/>
  <c r="M108" i="14"/>
  <c r="M109" i="14"/>
  <c r="M110" i="14"/>
  <c r="M112" i="14"/>
  <c r="M111" i="14"/>
  <c r="M113" i="14"/>
  <c r="M114" i="14"/>
  <c r="M115" i="14"/>
  <c r="M116" i="14"/>
  <c r="M117" i="14"/>
  <c r="M118" i="14"/>
  <c r="M119" i="14"/>
  <c r="M120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5" i="14"/>
  <c r="J56" i="14"/>
  <c r="J57" i="14"/>
  <c r="J59" i="14"/>
  <c r="J60" i="14"/>
  <c r="J61" i="14"/>
  <c r="J62" i="14"/>
  <c r="J63" i="14"/>
  <c r="J64" i="14"/>
  <c r="J65" i="14"/>
  <c r="J66" i="14"/>
  <c r="J67" i="14"/>
  <c r="J68" i="14"/>
  <c r="J70" i="14"/>
  <c r="J69" i="14"/>
  <c r="J72" i="14"/>
  <c r="J71" i="14"/>
  <c r="J73" i="14"/>
  <c r="J74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9" i="14"/>
  <c r="J88" i="14"/>
  <c r="J90" i="14"/>
  <c r="J91" i="14"/>
  <c r="J92" i="14"/>
  <c r="J94" i="14"/>
  <c r="J93" i="14"/>
  <c r="J95" i="14"/>
  <c r="J96" i="14"/>
  <c r="J97" i="14"/>
  <c r="J98" i="14"/>
  <c r="J99" i="14"/>
  <c r="J100" i="14"/>
  <c r="J101" i="14"/>
  <c r="J102" i="14"/>
  <c r="J103" i="14"/>
  <c r="J105" i="14"/>
  <c r="J106" i="14"/>
  <c r="J107" i="14"/>
  <c r="J108" i="14"/>
  <c r="J109" i="14"/>
  <c r="J110" i="14"/>
  <c r="J112" i="14"/>
  <c r="J111" i="14"/>
  <c r="J113" i="14"/>
  <c r="J114" i="14"/>
  <c r="J115" i="14"/>
  <c r="J116" i="14"/>
  <c r="J117" i="14"/>
  <c r="J118" i="14"/>
  <c r="J119" i="14"/>
  <c r="J120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4" i="14"/>
  <c r="K114" i="14"/>
  <c r="N113" i="14"/>
  <c r="K113" i="14"/>
  <c r="N111" i="14"/>
  <c r="K111" i="14"/>
  <c r="N112" i="14"/>
  <c r="K112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3" i="14"/>
  <c r="K93" i="14"/>
  <c r="N94" i="14"/>
  <c r="K94" i="14"/>
  <c r="N92" i="14"/>
  <c r="K92" i="14"/>
  <c r="N91" i="14"/>
  <c r="K91" i="14"/>
  <c r="N90" i="14"/>
  <c r="K90" i="14"/>
  <c r="N88" i="14"/>
  <c r="K88" i="14"/>
  <c r="N89" i="14"/>
  <c r="K89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4" i="14"/>
  <c r="K74" i="14"/>
  <c r="N73" i="14"/>
  <c r="K73" i="14"/>
  <c r="N71" i="14"/>
  <c r="K71" i="14"/>
  <c r="N72" i="14"/>
  <c r="K72" i="14"/>
  <c r="N69" i="14"/>
  <c r="K69" i="14"/>
  <c r="N70" i="14"/>
  <c r="K70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60" i="14"/>
  <c r="K60" i="14"/>
  <c r="N59" i="14"/>
  <c r="K59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Z116" i="14" l="1"/>
  <c r="AB116" i="14" s="1"/>
  <c r="Z32" i="14"/>
  <c r="AB32" i="14" s="1"/>
  <c r="Z38" i="14"/>
  <c r="AB38" i="14" s="1"/>
  <c r="Z58" i="14"/>
  <c r="AB58" i="14" s="1"/>
  <c r="Z46" i="14"/>
  <c r="AB46" i="14" s="1"/>
  <c r="Z104" i="14"/>
  <c r="AB104" i="14" s="1"/>
  <c r="Z75" i="14"/>
  <c r="AB75" i="14" s="1"/>
  <c r="Z3" i="14"/>
  <c r="AB3" i="14" s="1"/>
  <c r="Z2" i="14"/>
  <c r="AB2" i="14" s="1"/>
  <c r="Z7" i="14"/>
  <c r="AB7" i="14" s="1"/>
  <c r="Z40" i="14"/>
  <c r="AB40" i="14" s="1"/>
  <c r="Z9" i="14"/>
  <c r="AB9" i="14" s="1"/>
  <c r="Z68" i="14"/>
  <c r="AB68" i="14" s="1"/>
  <c r="Z55" i="14"/>
  <c r="AB55" i="14" s="1"/>
  <c r="Z114" i="14"/>
  <c r="AB114" i="14" s="1"/>
  <c r="Z98" i="14"/>
  <c r="AB98" i="14" s="1"/>
  <c r="Z66" i="14"/>
  <c r="AB66" i="14" s="1"/>
  <c r="Z25" i="14"/>
  <c r="AB25" i="14" s="1"/>
  <c r="Z78" i="14"/>
  <c r="AB78" i="14" s="1"/>
  <c r="Z85" i="14"/>
  <c r="AB85" i="14" s="1"/>
  <c r="Z107" i="14"/>
  <c r="AB107" i="14" s="1"/>
  <c r="Z76" i="14"/>
  <c r="AB76" i="14" s="1"/>
  <c r="Z96" i="14"/>
  <c r="AB96" i="14" s="1"/>
  <c r="Z105" i="14"/>
  <c r="AB105" i="14" s="1"/>
  <c r="Z63" i="14"/>
  <c r="AB63" i="14" s="1"/>
  <c r="Z59" i="14"/>
  <c r="AB59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69" i="14"/>
  <c r="AB69" i="14" s="1"/>
  <c r="Z92" i="14"/>
  <c r="AB92" i="14" s="1"/>
  <c r="Z111" i="14"/>
  <c r="AB111" i="14" s="1"/>
  <c r="Z120" i="14"/>
  <c r="AB120" i="14" s="1"/>
  <c r="Z18" i="14"/>
  <c r="AB18" i="14" s="1"/>
  <c r="Z33" i="14"/>
  <c r="AB33" i="14" s="1"/>
  <c r="Z49" i="14"/>
  <c r="Z65" i="14"/>
  <c r="AB65" i="14" s="1"/>
  <c r="Z82" i="14"/>
  <c r="AB82" i="14" s="1"/>
  <c r="Z94" i="14"/>
  <c r="AB94" i="14" s="1"/>
  <c r="Z109" i="14"/>
  <c r="AB109" i="14" s="1"/>
  <c r="Z5" i="14"/>
  <c r="AB5" i="14" s="1"/>
  <c r="Z88" i="14"/>
  <c r="AB88" i="14" s="1"/>
  <c r="Z4" i="14"/>
  <c r="AB4" i="14" s="1"/>
  <c r="Z74" i="14"/>
  <c r="AB74" i="14" s="1"/>
  <c r="Z89" i="14"/>
  <c r="AB89" i="14" s="1"/>
  <c r="Z100" i="14"/>
  <c r="AB100" i="14" s="1"/>
  <c r="Z118" i="14"/>
  <c r="AB118" i="14" s="1"/>
  <c r="Z102" i="14"/>
  <c r="AB102" i="14" s="1"/>
  <c r="Z95" i="14"/>
  <c r="AB95" i="14" s="1"/>
  <c r="Z90" i="14"/>
  <c r="AB90" i="14" s="1"/>
  <c r="Z83" i="14"/>
  <c r="AB83" i="14" s="1"/>
  <c r="Z80" i="14"/>
  <c r="AB80" i="14" s="1"/>
  <c r="Z71" i="14"/>
  <c r="AB71" i="14" s="1"/>
  <c r="Z64" i="14"/>
  <c r="AB64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6" i="14"/>
  <c r="AB56" i="14" s="1"/>
  <c r="Z115" i="14"/>
  <c r="AB115" i="14" s="1"/>
  <c r="Z108" i="14"/>
  <c r="AB108" i="14" s="1"/>
  <c r="Z99" i="14"/>
  <c r="AB99" i="14" s="1"/>
  <c r="Z61" i="14"/>
  <c r="AB61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3" i="14"/>
  <c r="AB73" i="14" s="1"/>
  <c r="Z8" i="14"/>
  <c r="AB8" i="14" s="1"/>
  <c r="Z87" i="14"/>
  <c r="AB87" i="14" s="1"/>
  <c r="Z70" i="14"/>
  <c r="AB70" i="14" s="1"/>
  <c r="Z81" i="14"/>
  <c r="AB81" i="14" s="1"/>
  <c r="Z39" i="14"/>
  <c r="AB39" i="14" s="1"/>
  <c r="Z54" i="14"/>
  <c r="AB54" i="14" s="1"/>
  <c r="Z62" i="14"/>
  <c r="AB62" i="14" s="1"/>
  <c r="Z97" i="14"/>
  <c r="AB97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0" i="14"/>
  <c r="AB60" i="14" s="1"/>
  <c r="Z67" i="14"/>
  <c r="AB67" i="14" s="1"/>
  <c r="Z16" i="14"/>
  <c r="AB16" i="14" s="1"/>
  <c r="Z24" i="14"/>
  <c r="AB24" i="14" s="1"/>
  <c r="Z113" i="14"/>
  <c r="AB113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7" i="14"/>
  <c r="AB57" i="14" s="1"/>
  <c r="Z106" i="14"/>
  <c r="AB106" i="14" s="1"/>
  <c r="Z72" i="14"/>
  <c r="AB72" i="14" s="1"/>
  <c r="Z79" i="14"/>
  <c r="AB79" i="14" s="1"/>
  <c r="Z86" i="14"/>
  <c r="AB86" i="14" s="1"/>
  <c r="Z103" i="14"/>
  <c r="AB103" i="14" s="1"/>
  <c r="Z112" i="14"/>
  <c r="AB112" i="14" s="1"/>
  <c r="Z119" i="14"/>
  <c r="AB119" i="14" s="1"/>
  <c r="Z77" i="14"/>
  <c r="AB77" i="14" s="1"/>
  <c r="Z84" i="14"/>
  <c r="AB84" i="14" s="1"/>
  <c r="Z91" i="14"/>
  <c r="AB91" i="14" s="1"/>
  <c r="Z93" i="14"/>
  <c r="AB93" i="14" s="1"/>
  <c r="Z101" i="14"/>
  <c r="AB101" i="14" s="1"/>
  <c r="Z110" i="14"/>
  <c r="AB110" i="14" s="1"/>
  <c r="Z117" i="14"/>
  <c r="AB117" i="14" s="1"/>
  <c r="AC48" i="14" l="1"/>
  <c r="AD48" i="14"/>
  <c r="AE48" i="14"/>
  <c r="AF48" i="14"/>
  <c r="AC106" i="14"/>
  <c r="AD106" i="14"/>
  <c r="AE106" i="14"/>
  <c r="AF106" i="14"/>
  <c r="AD25" i="14"/>
  <c r="AE25" i="14"/>
  <c r="AC25" i="14"/>
  <c r="AF25" i="14"/>
  <c r="AD84" i="14"/>
  <c r="AF84" i="14"/>
  <c r="AC84" i="14"/>
  <c r="AE84" i="14"/>
  <c r="AD79" i="14"/>
  <c r="AF79" i="14"/>
  <c r="AC79" i="14"/>
  <c r="AE79" i="14"/>
  <c r="AC101" i="14"/>
  <c r="AF101" i="14"/>
  <c r="AD101" i="14"/>
  <c r="AE101" i="14"/>
  <c r="AD100" i="14"/>
  <c r="AC100" i="14"/>
  <c r="AE100" i="14"/>
  <c r="AF100" i="14"/>
  <c r="AE15" i="14"/>
  <c r="AD15" i="14"/>
  <c r="AC15" i="14"/>
  <c r="AF15" i="14"/>
  <c r="Z121" i="14"/>
  <c r="AE2" i="14"/>
  <c r="AC2" i="14"/>
  <c r="AD2" i="14"/>
  <c r="AB49" i="14"/>
  <c r="AB52" i="14"/>
  <c r="AC49" i="14" l="1"/>
  <c r="AD49" i="14"/>
  <c r="AE49" i="14"/>
  <c r="AF49" i="14"/>
  <c r="AB121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<sst xmlns="http://schemas.openxmlformats.org/spreadsheetml/2006/main" count="460" uniqueCount="276">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</sst>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79"/>
  <sheetViews>
    <sheetView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D48" sqref="D48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6" width="17.5703125" style="21" bestFit="1" customWidth="1"/>
    <col min="17" max="17" width="14.28515625" style="21" bestFit="1" customWidth="1"/>
    <col min="18" max="18" width="12.8554687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0</v>
      </c>
      <c r="AB2" s="20">
        <f t="shared" ref="AB2:AB33" si="6">Z2-AA2</f>
        <v>51180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tr">
        <f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0</v>
      </c>
      <c r="AB3" s="20">
        <f t="shared" si="6"/>
        <v>72355</v>
      </c>
      <c r="AC3" s="24" t="str">
        <f t="shared" ref="AC3:AC66" si="7">IF(AND($T3=6000, ($T3+$W3-$AB3)&gt;=6000),T3,"")</f>
        <v/>
      </c>
      <c r="AD3" s="24" t="str">
        <f t="shared" ref="AD3:AD66" si="8">IF(AND($T3=8000, ($T3+$W3-$AB3)&gt;=8000),T3,"")</f>
        <v/>
      </c>
      <c r="AE3" s="24" t="str">
        <f t="shared" ref="AE3:AE66" si="9">IF(($T3+$W3-$AB3)&gt;=$T3+8000,W3,"")</f>
        <v/>
      </c>
      <c r="AF3" s="25" t="str">
        <f t="shared" ref="AF3:AF66" si="10">IF(AB3&lt;=0,"BONUS","")</f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tr">
        <f t="shared" si="10"/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tr">
        <f t="shared" si="10"/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tr">
        <f t="shared" si="10"/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tr">
        <f t="shared" si="10"/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0</v>
      </c>
      <c r="AB8" s="20">
        <f t="shared" si="6"/>
        <v>50190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tr">
        <f t="shared" si="10"/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tr">
        <f t="shared" si="10"/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0</v>
      </c>
      <c r="AB10" s="20">
        <f t="shared" si="6"/>
        <v>69290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tr">
        <f t="shared" si="10"/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 t="str">
        <f t="shared" si="10"/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tr">
        <f t="shared" si="10"/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52660</v>
      </c>
      <c r="AA13" s="24">
        <v>0</v>
      </c>
      <c r="AB13" s="20">
        <f t="shared" si="6"/>
        <v>52660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tr">
        <f t="shared" si="10"/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60510</v>
      </c>
      <c r="AA14" s="24">
        <v>0</v>
      </c>
      <c r="AB14" s="20">
        <f t="shared" si="6"/>
        <v>60510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tr">
        <f t="shared" si="10"/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24700</v>
      </c>
      <c r="L15" s="24">
        <f t="shared" si="2"/>
        <v>4000</v>
      </c>
      <c r="M15" s="24">
        <f t="shared" si="3"/>
        <v>950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40790</v>
      </c>
      <c r="AA15" s="24">
        <v>42140</v>
      </c>
      <c r="AB15" s="20">
        <f t="shared" si="6"/>
        <v>-1350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tr">
        <f t="shared" si="10"/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59160</v>
      </c>
      <c r="AA16" s="24">
        <v>0</v>
      </c>
      <c r="AB16" s="20">
        <f t="shared" si="6"/>
        <v>59160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tr">
        <f t="shared" si="10"/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69290</v>
      </c>
      <c r="AA17" s="24">
        <v>0</v>
      </c>
      <c r="AB17" s="20">
        <f t="shared" si="6"/>
        <v>69290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tr">
        <f t="shared" si="10"/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tr">
        <f t="shared" si="10"/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73925</v>
      </c>
      <c r="AA19" s="24">
        <v>51685</v>
      </c>
      <c r="AB19" s="20">
        <f t="shared" si="6"/>
        <v>22240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 t="str">
        <f t="shared" si="10"/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tr">
        <f t="shared" si="10"/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 t="str">
        <f t="shared" si="10"/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tr">
        <f t="shared" si="10"/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66230</v>
      </c>
      <c r="AA23" s="24">
        <v>0</v>
      </c>
      <c r="AB23" s="20">
        <f t="shared" si="6"/>
        <v>66230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tr">
        <f t="shared" si="10"/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66230</v>
      </c>
      <c r="AA24" s="24">
        <v>0</v>
      </c>
      <c r="AB24" s="20">
        <f t="shared" si="6"/>
        <v>66230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tr">
        <f t="shared" si="10"/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60000</v>
      </c>
      <c r="AB25" s="20">
        <f t="shared" si="6"/>
        <v>19830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tr">
        <f t="shared" si="10"/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16500</v>
      </c>
      <c r="L26" s="24">
        <f t="shared" si="2"/>
        <v>5000</v>
      </c>
      <c r="M26" s="24">
        <f t="shared" si="3"/>
        <v>1000</v>
      </c>
      <c r="N26" s="24">
        <f t="shared" si="4"/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62230</v>
      </c>
      <c r="AA26" s="24">
        <v>0</v>
      </c>
      <c r="AB26" s="20">
        <f t="shared" si="6"/>
        <v>62230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tr">
        <f t="shared" si="10"/>
        <v/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tr">
        <f t="shared" si="10"/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tr">
        <f t="shared" si="10"/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tr">
        <f t="shared" si="10"/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tr">
        <f t="shared" si="10"/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tr">
        <f t="shared" si="10"/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tr">
        <f t="shared" si="10"/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tr">
        <f t="shared" si="10"/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1">(1-$D34)*E34</f>
        <v>0</v>
      </c>
      <c r="K34" s="24">
        <f t="shared" ref="K34:K65" si="12">(1-$D34)*F34</f>
        <v>19500</v>
      </c>
      <c r="L34" s="24">
        <f t="shared" ref="L34:L65" si="13">G34</f>
        <v>4000</v>
      </c>
      <c r="M34" s="24">
        <f t="shared" ref="M34:M65" si="14">(1-$D34)*H34</f>
        <v>0</v>
      </c>
      <c r="N34" s="24">
        <f t="shared" ref="N34:N65" si="15"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6">SUM(J34:Y34)</f>
        <v>65160</v>
      </c>
      <c r="AA34" s="24">
        <v>0</v>
      </c>
      <c r="AB34" s="20">
        <f t="shared" ref="AB34:AB65" si="17">Z34-AA34</f>
        <v>65160</v>
      </c>
      <c r="AC34" s="24" t="str">
        <f t="shared" si="7"/>
        <v/>
      </c>
      <c r="AD34" s="24" t="str">
        <f t="shared" si="8"/>
        <v/>
      </c>
      <c r="AE34" s="24" t="str">
        <f t="shared" si="9"/>
        <v/>
      </c>
      <c r="AF34" s="25" t="str">
        <f t="shared" si="10"/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1"/>
        <v>0</v>
      </c>
      <c r="K35" s="24">
        <f t="shared" si="12"/>
        <v>21000</v>
      </c>
      <c r="L35" s="24">
        <f t="shared" si="13"/>
        <v>4000</v>
      </c>
      <c r="M35" s="24">
        <f t="shared" si="14"/>
        <v>0</v>
      </c>
      <c r="N35" s="24">
        <f t="shared" si="15"/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6"/>
        <v>72480</v>
      </c>
      <c r="AA35" s="24">
        <v>0</v>
      </c>
      <c r="AB35" s="20">
        <f t="shared" si="17"/>
        <v>72480</v>
      </c>
      <c r="AC35" s="24" t="str">
        <f t="shared" si="7"/>
        <v/>
      </c>
      <c r="AD35" s="24" t="str">
        <f t="shared" si="8"/>
        <v/>
      </c>
      <c r="AE35" s="24" t="str">
        <f t="shared" si="9"/>
        <v/>
      </c>
      <c r="AF35" s="25" t="str">
        <f t="shared" si="10"/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1"/>
        <v>0</v>
      </c>
      <c r="K36" s="24">
        <f t="shared" si="12"/>
        <v>26000</v>
      </c>
      <c r="L36" s="24">
        <f t="shared" si="13"/>
        <v>4000</v>
      </c>
      <c r="M36" s="24">
        <f t="shared" si="14"/>
        <v>1000</v>
      </c>
      <c r="N36" s="24">
        <f t="shared" si="15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6"/>
        <v>43140</v>
      </c>
      <c r="AA36" s="24">
        <v>0</v>
      </c>
      <c r="AB36" s="20">
        <f t="shared" si="17"/>
        <v>43140</v>
      </c>
      <c r="AC36" s="24" t="str">
        <f t="shared" si="7"/>
        <v/>
      </c>
      <c r="AD36" s="24" t="str">
        <f t="shared" si="8"/>
        <v/>
      </c>
      <c r="AE36" s="24" t="str">
        <f t="shared" si="9"/>
        <v/>
      </c>
      <c r="AF36" s="25" t="str">
        <f t="shared" si="10"/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1"/>
        <v>0</v>
      </c>
      <c r="K37" s="24">
        <f t="shared" si="12"/>
        <v>26000</v>
      </c>
      <c r="L37" s="24">
        <f t="shared" si="13"/>
        <v>4000</v>
      </c>
      <c r="M37" s="24">
        <f t="shared" si="14"/>
        <v>0</v>
      </c>
      <c r="N37" s="24">
        <f t="shared" si="15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6"/>
        <v>56930</v>
      </c>
      <c r="AA37" s="24">
        <v>0</v>
      </c>
      <c r="AB37" s="20">
        <f t="shared" si="17"/>
        <v>56930</v>
      </c>
      <c r="AC37" s="24" t="str">
        <f t="shared" si="7"/>
        <v/>
      </c>
      <c r="AD37" s="24" t="str">
        <f t="shared" si="8"/>
        <v/>
      </c>
      <c r="AE37" s="24" t="str">
        <f t="shared" si="9"/>
        <v/>
      </c>
      <c r="AF37" s="25" t="str">
        <f t="shared" si="10"/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1"/>
        <v>0</v>
      </c>
      <c r="K38" s="24">
        <f t="shared" si="12"/>
        <v>26000</v>
      </c>
      <c r="L38" s="24">
        <f t="shared" si="13"/>
        <v>2000</v>
      </c>
      <c r="M38" s="24">
        <f t="shared" si="14"/>
        <v>0</v>
      </c>
      <c r="N38" s="24">
        <f t="shared" si="15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6"/>
        <v>31050</v>
      </c>
      <c r="AA38" s="24">
        <v>0</v>
      </c>
      <c r="AB38" s="20">
        <f t="shared" si="17"/>
        <v>31050</v>
      </c>
      <c r="AC38" s="24" t="str">
        <f t="shared" si="7"/>
        <v/>
      </c>
      <c r="AD38" s="24" t="str">
        <f t="shared" si="8"/>
        <v/>
      </c>
      <c r="AE38" s="24" t="str">
        <f t="shared" si="9"/>
        <v/>
      </c>
      <c r="AF38" s="25" t="str">
        <f t="shared" si="10"/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1"/>
        <v>0</v>
      </c>
      <c r="K39" s="24">
        <f t="shared" si="12"/>
        <v>26000</v>
      </c>
      <c r="L39" s="24">
        <f t="shared" si="13"/>
        <v>4000</v>
      </c>
      <c r="M39" s="24">
        <f t="shared" si="14"/>
        <v>1000</v>
      </c>
      <c r="N39" s="24">
        <f t="shared" si="15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6"/>
        <v>43140</v>
      </c>
      <c r="AA39" s="24">
        <v>0</v>
      </c>
      <c r="AB39" s="20">
        <f t="shared" si="17"/>
        <v>43140</v>
      </c>
      <c r="AC39" s="24" t="str">
        <f t="shared" si="7"/>
        <v/>
      </c>
      <c r="AD39" s="24" t="str">
        <f t="shared" si="8"/>
        <v/>
      </c>
      <c r="AE39" s="24" t="str">
        <f t="shared" si="9"/>
        <v/>
      </c>
      <c r="AF39" s="25" t="str">
        <f t="shared" si="10"/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1"/>
        <v>0</v>
      </c>
      <c r="K40" s="24">
        <f t="shared" si="12"/>
        <v>16500</v>
      </c>
      <c r="L40" s="24">
        <f t="shared" si="13"/>
        <v>5000</v>
      </c>
      <c r="M40" s="24">
        <f t="shared" si="14"/>
        <v>1000</v>
      </c>
      <c r="N40" s="24">
        <f t="shared" si="15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6"/>
        <v>70200</v>
      </c>
      <c r="AA40" s="24">
        <v>0</v>
      </c>
      <c r="AB40" s="20">
        <f t="shared" si="17"/>
        <v>70200</v>
      </c>
      <c r="AC40" s="24" t="str">
        <f t="shared" si="7"/>
        <v/>
      </c>
      <c r="AD40" s="24" t="str">
        <f t="shared" si="8"/>
        <v/>
      </c>
      <c r="AE40" s="24" t="str">
        <f t="shared" si="9"/>
        <v/>
      </c>
      <c r="AF40" s="25" t="str">
        <f t="shared" si="10"/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1"/>
        <v>0</v>
      </c>
      <c r="K41" s="24">
        <f t="shared" si="12"/>
        <v>33000</v>
      </c>
      <c r="L41" s="24">
        <f t="shared" si="13"/>
        <v>5000</v>
      </c>
      <c r="M41" s="24">
        <f t="shared" si="14"/>
        <v>2000</v>
      </c>
      <c r="N41" s="24">
        <f t="shared" si="15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6"/>
        <v>73760</v>
      </c>
      <c r="AA41" s="24">
        <v>0</v>
      </c>
      <c r="AB41" s="20">
        <f t="shared" si="17"/>
        <v>73760</v>
      </c>
      <c r="AC41" s="24" t="str">
        <f t="shared" si="7"/>
        <v/>
      </c>
      <c r="AD41" s="24" t="str">
        <f t="shared" si="8"/>
        <v/>
      </c>
      <c r="AE41" s="24" t="str">
        <f t="shared" si="9"/>
        <v/>
      </c>
      <c r="AF41" s="25" t="str">
        <f t="shared" si="10"/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1"/>
        <v>0</v>
      </c>
      <c r="K42" s="24">
        <f t="shared" si="12"/>
        <v>40000</v>
      </c>
      <c r="L42" s="24">
        <f t="shared" si="13"/>
        <v>5000</v>
      </c>
      <c r="M42" s="24">
        <f t="shared" si="14"/>
        <v>2000</v>
      </c>
      <c r="N42" s="24">
        <f t="shared" si="15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6"/>
        <v>81330</v>
      </c>
      <c r="AA42" s="24">
        <v>0</v>
      </c>
      <c r="AB42" s="20">
        <f t="shared" si="17"/>
        <v>81330</v>
      </c>
      <c r="AC42" s="24" t="str">
        <f t="shared" si="7"/>
        <v/>
      </c>
      <c r="AD42" s="24" t="str">
        <f t="shared" si="8"/>
        <v/>
      </c>
      <c r="AE42" s="24" t="str">
        <f t="shared" si="9"/>
        <v/>
      </c>
      <c r="AF42" s="25" t="str">
        <f t="shared" si="10"/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1"/>
        <v>0</v>
      </c>
      <c r="K43" s="24">
        <f t="shared" si="12"/>
        <v>16500</v>
      </c>
      <c r="L43" s="24">
        <f t="shared" si="13"/>
        <v>5000</v>
      </c>
      <c r="M43" s="24">
        <f t="shared" si="14"/>
        <v>1000</v>
      </c>
      <c r="N43" s="24">
        <f t="shared" si="15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6"/>
        <v>62710</v>
      </c>
      <c r="AA43" s="24">
        <v>0</v>
      </c>
      <c r="AB43" s="20">
        <f t="shared" si="17"/>
        <v>62710</v>
      </c>
      <c r="AC43" s="24" t="str">
        <f t="shared" si="7"/>
        <v/>
      </c>
      <c r="AD43" s="24" t="str">
        <f t="shared" si="8"/>
        <v/>
      </c>
      <c r="AE43" s="24" t="str">
        <f t="shared" si="9"/>
        <v/>
      </c>
      <c r="AF43" s="25" t="str">
        <f t="shared" si="10"/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1"/>
        <v>0</v>
      </c>
      <c r="K44" s="24">
        <f t="shared" si="12"/>
        <v>24750</v>
      </c>
      <c r="L44" s="24">
        <f t="shared" si="13"/>
        <v>5000</v>
      </c>
      <c r="M44" s="24">
        <f t="shared" si="14"/>
        <v>1500</v>
      </c>
      <c r="N44" s="24">
        <f t="shared" si="15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6"/>
        <v>72480</v>
      </c>
      <c r="AA44" s="24">
        <v>0</v>
      </c>
      <c r="AB44" s="20">
        <f t="shared" si="17"/>
        <v>72480</v>
      </c>
      <c r="AC44" s="24" t="str">
        <f t="shared" si="7"/>
        <v/>
      </c>
      <c r="AD44" s="24" t="str">
        <f t="shared" si="8"/>
        <v/>
      </c>
      <c r="AE44" s="24" t="str">
        <f t="shared" si="9"/>
        <v/>
      </c>
      <c r="AF44" s="25" t="str">
        <f t="shared" si="10"/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1"/>
        <v>0</v>
      </c>
      <c r="K45" s="24">
        <f t="shared" si="12"/>
        <v>30000</v>
      </c>
      <c r="L45" s="24">
        <f t="shared" si="13"/>
        <v>5000</v>
      </c>
      <c r="M45" s="24">
        <f t="shared" si="14"/>
        <v>1500</v>
      </c>
      <c r="N45" s="24">
        <f t="shared" si="15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6"/>
        <v>68710</v>
      </c>
      <c r="AA45" s="24">
        <v>0</v>
      </c>
      <c r="AB45" s="20">
        <f t="shared" si="17"/>
        <v>68710</v>
      </c>
      <c r="AC45" s="24" t="str">
        <f t="shared" si="7"/>
        <v/>
      </c>
      <c r="AD45" s="24" t="str">
        <f t="shared" si="8"/>
        <v/>
      </c>
      <c r="AE45" s="24" t="str">
        <f t="shared" si="9"/>
        <v/>
      </c>
      <c r="AF45" s="25" t="str">
        <f t="shared" si="10"/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1"/>
        <v>0</v>
      </c>
      <c r="K46" s="24">
        <f t="shared" si="12"/>
        <v>26000</v>
      </c>
      <c r="L46" s="24">
        <f t="shared" si="13"/>
        <v>4000</v>
      </c>
      <c r="M46" s="24">
        <f t="shared" si="14"/>
        <v>1000</v>
      </c>
      <c r="N46" s="24">
        <f t="shared" si="15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6"/>
        <v>43140</v>
      </c>
      <c r="AA46" s="24">
        <v>0</v>
      </c>
      <c r="AB46" s="20">
        <f t="shared" si="17"/>
        <v>43140</v>
      </c>
      <c r="AC46" s="24" t="str">
        <f t="shared" si="7"/>
        <v/>
      </c>
      <c r="AD46" s="24" t="str">
        <f t="shared" si="8"/>
        <v/>
      </c>
      <c r="AE46" s="24" t="str">
        <f t="shared" si="9"/>
        <v/>
      </c>
      <c r="AF46" s="25" t="str">
        <f t="shared" si="10"/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1"/>
        <v>0</v>
      </c>
      <c r="K47" s="24">
        <f t="shared" si="12"/>
        <v>19500</v>
      </c>
      <c r="L47" s="24">
        <f t="shared" si="13"/>
        <v>4000</v>
      </c>
      <c r="M47" s="24">
        <f t="shared" si="14"/>
        <v>0</v>
      </c>
      <c r="N47" s="24">
        <f t="shared" si="15"/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6"/>
        <v>83660</v>
      </c>
      <c r="AA47" s="24">
        <v>48000</v>
      </c>
      <c r="AB47" s="20">
        <f t="shared" si="17"/>
        <v>35660</v>
      </c>
      <c r="AC47" s="24" t="str">
        <f t="shared" si="7"/>
        <v/>
      </c>
      <c r="AD47" s="24" t="str">
        <f t="shared" si="8"/>
        <v/>
      </c>
      <c r="AE47" s="24" t="str">
        <f t="shared" si="9"/>
        <v/>
      </c>
      <c r="AF47" s="25" t="str">
        <f t="shared" si="10"/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1"/>
        <v>0</v>
      </c>
      <c r="K48" s="24">
        <f t="shared" si="12"/>
        <v>26600</v>
      </c>
      <c r="L48" s="24">
        <f t="shared" si="13"/>
        <v>4000</v>
      </c>
      <c r="M48" s="24">
        <f t="shared" si="14"/>
        <v>0</v>
      </c>
      <c r="N48" s="24">
        <f t="shared" si="15"/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6"/>
        <v>77370</v>
      </c>
      <c r="AA48" s="24">
        <v>79020</v>
      </c>
      <c r="AB48" s="20">
        <f t="shared" si="17"/>
        <v>-1650</v>
      </c>
      <c r="AC48" s="24" t="str">
        <f t="shared" si="7"/>
        <v/>
      </c>
      <c r="AD48" s="24" t="str">
        <f t="shared" si="8"/>
        <v/>
      </c>
      <c r="AE48" s="24" t="str">
        <f t="shared" si="9"/>
        <v/>
      </c>
      <c r="AF48" s="25" t="str">
        <f t="shared" si="10"/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1"/>
        <v>0</v>
      </c>
      <c r="K49" s="24">
        <f t="shared" si="12"/>
        <v>28000</v>
      </c>
      <c r="L49" s="24">
        <f t="shared" si="13"/>
        <v>4000</v>
      </c>
      <c r="M49" s="24">
        <f t="shared" si="14"/>
        <v>2500</v>
      </c>
      <c r="N49" s="24">
        <f t="shared" si="15"/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6"/>
        <v>82800</v>
      </c>
      <c r="AA49" s="24">
        <v>42350</v>
      </c>
      <c r="AB49" s="20">
        <f t="shared" si="17"/>
        <v>40450</v>
      </c>
      <c r="AC49" s="24" t="str">
        <f t="shared" si="7"/>
        <v/>
      </c>
      <c r="AD49" s="24" t="str">
        <f t="shared" si="8"/>
        <v/>
      </c>
      <c r="AE49" s="24" t="str">
        <f t="shared" si="9"/>
        <v/>
      </c>
      <c r="AF49" s="25" t="str">
        <f t="shared" si="10"/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1"/>
        <v>0</v>
      </c>
      <c r="K50" s="24">
        <f t="shared" si="12"/>
        <v>16500</v>
      </c>
      <c r="L50" s="24">
        <f t="shared" si="13"/>
        <v>5000</v>
      </c>
      <c r="M50" s="24">
        <f t="shared" si="14"/>
        <v>1000</v>
      </c>
      <c r="N50" s="24">
        <f t="shared" si="15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6"/>
        <v>62730</v>
      </c>
      <c r="AA50" s="24">
        <v>0</v>
      </c>
      <c r="AB50" s="20">
        <f t="shared" si="17"/>
        <v>62730</v>
      </c>
      <c r="AC50" s="24" t="str">
        <f t="shared" si="7"/>
        <v/>
      </c>
      <c r="AD50" s="24" t="str">
        <f t="shared" si="8"/>
        <v/>
      </c>
      <c r="AE50" s="24" t="str">
        <f t="shared" si="9"/>
        <v/>
      </c>
      <c r="AF50" s="25" t="str">
        <f t="shared" si="10"/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1"/>
        <v>0</v>
      </c>
      <c r="K51" s="24">
        <f t="shared" si="12"/>
        <v>21000</v>
      </c>
      <c r="L51" s="24">
        <f t="shared" si="13"/>
        <v>4000</v>
      </c>
      <c r="M51" s="24">
        <f t="shared" si="14"/>
        <v>0</v>
      </c>
      <c r="N51" s="24">
        <f t="shared" si="15"/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6"/>
        <v>94335</v>
      </c>
      <c r="AA51" s="24">
        <v>0</v>
      </c>
      <c r="AB51" s="20">
        <f t="shared" si="17"/>
        <v>94335</v>
      </c>
      <c r="AC51" s="24" t="str">
        <f t="shared" si="7"/>
        <v/>
      </c>
      <c r="AD51" s="24" t="str">
        <f t="shared" si="8"/>
        <v/>
      </c>
      <c r="AE51" s="24" t="str">
        <f t="shared" si="9"/>
        <v/>
      </c>
      <c r="AF51" s="25" t="str">
        <f t="shared" si="10"/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1"/>
        <v>0</v>
      </c>
      <c r="K52" s="24">
        <f t="shared" si="12"/>
        <v>21000</v>
      </c>
      <c r="L52" s="24">
        <f t="shared" si="13"/>
        <v>4000</v>
      </c>
      <c r="M52" s="24">
        <f t="shared" si="14"/>
        <v>0</v>
      </c>
      <c r="N52" s="24">
        <f t="shared" si="15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6"/>
        <v>101165</v>
      </c>
      <c r="AA52" s="24">
        <v>0</v>
      </c>
      <c r="AB52" s="20">
        <f t="shared" si="17"/>
        <v>101165</v>
      </c>
      <c r="AC52" s="24" t="str">
        <f t="shared" si="7"/>
        <v/>
      </c>
      <c r="AD52" s="24" t="str">
        <f t="shared" si="8"/>
        <v/>
      </c>
      <c r="AE52" s="24" t="str">
        <f t="shared" si="9"/>
        <v/>
      </c>
      <c r="AF52" s="25" t="str">
        <f t="shared" si="10"/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1"/>
        <v>0</v>
      </c>
      <c r="K53" s="24">
        <f t="shared" si="12"/>
        <v>26000</v>
      </c>
      <c r="L53" s="24">
        <f t="shared" si="13"/>
        <v>4000</v>
      </c>
      <c r="M53" s="24">
        <f t="shared" si="14"/>
        <v>1000</v>
      </c>
      <c r="N53" s="24">
        <f t="shared" si="15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6"/>
        <v>51030</v>
      </c>
      <c r="AA53" s="24">
        <v>0</v>
      </c>
      <c r="AB53" s="20">
        <f t="shared" si="17"/>
        <v>51030</v>
      </c>
      <c r="AC53" s="24" t="str">
        <f t="shared" si="7"/>
        <v/>
      </c>
      <c r="AD53" s="24" t="str">
        <f t="shared" si="8"/>
        <v/>
      </c>
      <c r="AE53" s="24" t="str">
        <f t="shared" si="9"/>
        <v/>
      </c>
      <c r="AF53" s="25" t="str">
        <f t="shared" si="10"/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1"/>
        <v>0</v>
      </c>
      <c r="K54" s="24">
        <f t="shared" si="12"/>
        <v>26000</v>
      </c>
      <c r="L54" s="24">
        <f t="shared" si="13"/>
        <v>4000</v>
      </c>
      <c r="M54" s="24">
        <f t="shared" si="14"/>
        <v>1000</v>
      </c>
      <c r="N54" s="24">
        <f t="shared" si="15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6"/>
        <v>45140</v>
      </c>
      <c r="AA54" s="24">
        <v>0</v>
      </c>
      <c r="AB54" s="20">
        <f t="shared" si="17"/>
        <v>45140</v>
      </c>
      <c r="AC54" s="24" t="str">
        <f t="shared" si="7"/>
        <v/>
      </c>
      <c r="AD54" s="24" t="str">
        <f t="shared" si="8"/>
        <v/>
      </c>
      <c r="AE54" s="24" t="str">
        <f t="shared" si="9"/>
        <v/>
      </c>
      <c r="AF54" s="25" t="str">
        <f t="shared" si="10"/>
        <v/>
      </c>
    </row>
    <row r="55" spans="1:32" x14ac:dyDescent="0.25">
      <c r="A55" s="22" t="s">
        <v>155</v>
      </c>
      <c r="B55" s="22" t="s">
        <v>156</v>
      </c>
      <c r="C55" s="22" t="s">
        <v>44</v>
      </c>
      <c r="D55" s="23">
        <v>0</v>
      </c>
      <c r="E55" s="24">
        <v>0</v>
      </c>
      <c r="F55" s="24">
        <v>26000</v>
      </c>
      <c r="G55" s="24">
        <v>4000</v>
      </c>
      <c r="H55" s="24">
        <v>0</v>
      </c>
      <c r="I55" s="24">
        <v>0</v>
      </c>
      <c r="J55" s="24">
        <f t="shared" si="11"/>
        <v>0</v>
      </c>
      <c r="K55" s="24">
        <f t="shared" si="12"/>
        <v>26000</v>
      </c>
      <c r="L55" s="24">
        <f t="shared" si="13"/>
        <v>4000</v>
      </c>
      <c r="M55" s="24">
        <f t="shared" si="14"/>
        <v>0</v>
      </c>
      <c r="N55" s="24">
        <f t="shared" si="15"/>
        <v>0</v>
      </c>
      <c r="O55" s="24">
        <v>13380</v>
      </c>
      <c r="P55" s="24">
        <v>7550</v>
      </c>
      <c r="Q55" s="24">
        <v>0</v>
      </c>
      <c r="R55" s="24">
        <v>0</v>
      </c>
      <c r="S55" s="24">
        <v>0</v>
      </c>
      <c r="T55" s="24">
        <v>6000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6"/>
        <v>56930</v>
      </c>
      <c r="AA55" s="24">
        <v>0</v>
      </c>
      <c r="AB55" s="20">
        <f t="shared" si="17"/>
        <v>56930</v>
      </c>
      <c r="AC55" s="24" t="str">
        <f t="shared" si="7"/>
        <v/>
      </c>
      <c r="AD55" s="24" t="str">
        <f t="shared" si="8"/>
        <v/>
      </c>
      <c r="AE55" s="24" t="str">
        <f t="shared" si="9"/>
        <v/>
      </c>
      <c r="AF55" s="25" t="str">
        <f t="shared" si="10"/>
        <v/>
      </c>
    </row>
    <row r="56" spans="1:32" x14ac:dyDescent="0.25">
      <c r="A56" s="22" t="s">
        <v>180</v>
      </c>
      <c r="B56" s="22" t="s">
        <v>181</v>
      </c>
      <c r="C56" s="22" t="s">
        <v>33</v>
      </c>
      <c r="D56" s="23">
        <v>0</v>
      </c>
      <c r="E56" s="24">
        <v>0</v>
      </c>
      <c r="F56" s="24">
        <v>28000</v>
      </c>
      <c r="G56" s="24">
        <v>4000</v>
      </c>
      <c r="H56" s="24">
        <v>2500</v>
      </c>
      <c r="I56" s="24">
        <v>5000</v>
      </c>
      <c r="J56" s="24">
        <f t="shared" si="11"/>
        <v>0</v>
      </c>
      <c r="K56" s="24">
        <f t="shared" si="12"/>
        <v>28000</v>
      </c>
      <c r="L56" s="24">
        <f t="shared" si="13"/>
        <v>4000</v>
      </c>
      <c r="M56" s="24">
        <f t="shared" si="14"/>
        <v>2500</v>
      </c>
      <c r="N56" s="24">
        <f t="shared" si="15"/>
        <v>5000</v>
      </c>
      <c r="O56" s="24">
        <v>25970</v>
      </c>
      <c r="P56" s="24">
        <v>11330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6"/>
        <v>76800</v>
      </c>
      <c r="AA56" s="24">
        <v>0</v>
      </c>
      <c r="AB56" s="20">
        <f t="shared" si="17"/>
        <v>76800</v>
      </c>
      <c r="AC56" s="24" t="str">
        <f t="shared" si="7"/>
        <v/>
      </c>
      <c r="AD56" s="24" t="str">
        <f t="shared" si="8"/>
        <v/>
      </c>
      <c r="AE56" s="24" t="str">
        <f t="shared" si="9"/>
        <v/>
      </c>
      <c r="AF56" s="25" t="str">
        <f t="shared" si="10"/>
        <v/>
      </c>
    </row>
    <row r="57" spans="1:32" x14ac:dyDescent="0.25">
      <c r="A57" s="22" t="s">
        <v>177</v>
      </c>
      <c r="B57" s="22" t="s">
        <v>178</v>
      </c>
      <c r="C57" s="22" t="s">
        <v>44</v>
      </c>
      <c r="D57" s="23">
        <v>0.25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1"/>
        <v>0</v>
      </c>
      <c r="K57" s="24">
        <f t="shared" si="12"/>
        <v>19500</v>
      </c>
      <c r="L57" s="24">
        <f t="shared" si="13"/>
        <v>4000</v>
      </c>
      <c r="M57" s="24">
        <f t="shared" si="14"/>
        <v>0</v>
      </c>
      <c r="N57" s="24">
        <f t="shared" si="15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6"/>
        <v>44430</v>
      </c>
      <c r="AA57" s="24">
        <v>0</v>
      </c>
      <c r="AB57" s="20">
        <f t="shared" si="17"/>
        <v>44430</v>
      </c>
      <c r="AC57" s="24" t="str">
        <f t="shared" si="7"/>
        <v/>
      </c>
      <c r="AD57" s="24" t="str">
        <f t="shared" si="8"/>
        <v/>
      </c>
      <c r="AE57" s="24" t="str">
        <f t="shared" si="9"/>
        <v/>
      </c>
      <c r="AF57" s="25" t="str">
        <f t="shared" si="10"/>
        <v/>
      </c>
    </row>
    <row r="58" spans="1:32" x14ac:dyDescent="0.25">
      <c r="A58" s="22" t="s">
        <v>234</v>
      </c>
      <c r="B58" s="22" t="s">
        <v>255</v>
      </c>
      <c r="C58" s="22" t="s">
        <v>44</v>
      </c>
      <c r="D58" s="23">
        <v>0.05</v>
      </c>
      <c r="E58" s="24">
        <v>0</v>
      </c>
      <c r="F58" s="24">
        <v>26000</v>
      </c>
      <c r="G58" s="24">
        <v>4000</v>
      </c>
      <c r="H58" s="24">
        <v>0</v>
      </c>
      <c r="I58" s="24">
        <v>0</v>
      </c>
      <c r="J58" s="24">
        <f t="shared" si="11"/>
        <v>0</v>
      </c>
      <c r="K58" s="24">
        <f t="shared" si="12"/>
        <v>24700</v>
      </c>
      <c r="L58" s="24">
        <f t="shared" si="13"/>
        <v>4000</v>
      </c>
      <c r="M58" s="24">
        <f t="shared" si="14"/>
        <v>0</v>
      </c>
      <c r="N58" s="24">
        <f t="shared" si="15"/>
        <v>0</v>
      </c>
      <c r="O58" s="24">
        <v>13380</v>
      </c>
      <c r="P58" s="24">
        <v>7550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1000</v>
      </c>
      <c r="Z58" s="24">
        <f t="shared" si="16"/>
        <v>50630</v>
      </c>
      <c r="AA58" s="24">
        <v>51930</v>
      </c>
      <c r="AB58" s="20">
        <f t="shared" si="17"/>
        <v>-1300</v>
      </c>
      <c r="AC58" s="24" t="str">
        <f t="shared" si="7"/>
        <v/>
      </c>
      <c r="AD58" s="24" t="str">
        <f t="shared" si="8"/>
        <v/>
      </c>
      <c r="AE58" s="24" t="str">
        <f t="shared" si="9"/>
        <v/>
      </c>
      <c r="AF58" s="25" t="str">
        <f t="shared" si="10"/>
        <v>BONUS</v>
      </c>
    </row>
    <row r="59" spans="1:32" x14ac:dyDescent="0.25">
      <c r="A59" s="22" t="s">
        <v>81</v>
      </c>
      <c r="B59" s="22" t="s">
        <v>82</v>
      </c>
      <c r="C59" s="22" t="s">
        <v>33</v>
      </c>
      <c r="D59" s="23">
        <v>0</v>
      </c>
      <c r="E59" s="24">
        <v>0</v>
      </c>
      <c r="F59" s="24">
        <v>28000</v>
      </c>
      <c r="G59" s="24">
        <v>4000</v>
      </c>
      <c r="H59" s="24">
        <v>2500</v>
      </c>
      <c r="I59" s="24">
        <v>5000</v>
      </c>
      <c r="J59" s="24">
        <f t="shared" si="11"/>
        <v>0</v>
      </c>
      <c r="K59" s="24">
        <f t="shared" si="12"/>
        <v>28000</v>
      </c>
      <c r="L59" s="24">
        <f t="shared" si="13"/>
        <v>4000</v>
      </c>
      <c r="M59" s="24">
        <f t="shared" si="14"/>
        <v>2500</v>
      </c>
      <c r="N59" s="24">
        <f t="shared" si="15"/>
        <v>5000</v>
      </c>
      <c r="O59" s="24">
        <v>25970</v>
      </c>
      <c r="P59" s="24">
        <v>11330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550</v>
      </c>
      <c r="Z59" s="24">
        <f t="shared" si="16"/>
        <v>77350</v>
      </c>
      <c r="AA59" s="24">
        <v>0</v>
      </c>
      <c r="AB59" s="20">
        <f t="shared" si="17"/>
        <v>77350</v>
      </c>
      <c r="AC59" s="24" t="str">
        <f t="shared" si="7"/>
        <v/>
      </c>
      <c r="AD59" s="24" t="str">
        <f t="shared" si="8"/>
        <v/>
      </c>
      <c r="AE59" s="24" t="str">
        <f t="shared" si="9"/>
        <v/>
      </c>
      <c r="AF59" s="25" t="str">
        <f t="shared" si="10"/>
        <v/>
      </c>
    </row>
    <row r="60" spans="1:32" x14ac:dyDescent="0.25">
      <c r="A60" s="22" t="s">
        <v>83</v>
      </c>
      <c r="B60" s="22" t="s">
        <v>84</v>
      </c>
      <c r="C60" s="22" t="s">
        <v>46</v>
      </c>
      <c r="D60" s="23">
        <v>0</v>
      </c>
      <c r="E60" s="24">
        <v>0</v>
      </c>
      <c r="F60" s="24">
        <v>28000</v>
      </c>
      <c r="G60" s="24">
        <v>4000</v>
      </c>
      <c r="H60" s="24">
        <v>0</v>
      </c>
      <c r="I60" s="24">
        <v>5000</v>
      </c>
      <c r="J60" s="24">
        <f t="shared" si="11"/>
        <v>0</v>
      </c>
      <c r="K60" s="24">
        <f t="shared" si="12"/>
        <v>28000</v>
      </c>
      <c r="L60" s="24">
        <f t="shared" si="13"/>
        <v>4000</v>
      </c>
      <c r="M60" s="24">
        <f t="shared" si="14"/>
        <v>0</v>
      </c>
      <c r="N60" s="24">
        <f t="shared" si="15"/>
        <v>5000</v>
      </c>
      <c r="O60" s="24">
        <v>27310</v>
      </c>
      <c r="P60" s="24">
        <v>13230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6"/>
        <v>77540</v>
      </c>
      <c r="AA60" s="24">
        <v>0</v>
      </c>
      <c r="AB60" s="20">
        <f t="shared" si="17"/>
        <v>77540</v>
      </c>
      <c r="AC60" s="24" t="str">
        <f t="shared" si="7"/>
        <v/>
      </c>
      <c r="AD60" s="24" t="str">
        <f t="shared" si="8"/>
        <v/>
      </c>
      <c r="AE60" s="24" t="str">
        <f t="shared" si="9"/>
        <v/>
      </c>
      <c r="AF60" s="25" t="str">
        <f t="shared" si="10"/>
        <v/>
      </c>
    </row>
    <row r="61" spans="1:32" x14ac:dyDescent="0.25">
      <c r="A61" s="22" t="s">
        <v>85</v>
      </c>
      <c r="B61" s="22" t="s">
        <v>86</v>
      </c>
      <c r="C61" s="22" t="s">
        <v>67</v>
      </c>
      <c r="D61" s="23">
        <v>0.5</v>
      </c>
      <c r="E61" s="24">
        <v>0</v>
      </c>
      <c r="F61" s="24">
        <v>33000</v>
      </c>
      <c r="G61" s="24">
        <v>5000</v>
      </c>
      <c r="H61" s="24">
        <v>2000</v>
      </c>
      <c r="I61" s="24">
        <v>6000</v>
      </c>
      <c r="J61" s="24">
        <f t="shared" si="11"/>
        <v>0</v>
      </c>
      <c r="K61" s="24">
        <f t="shared" si="12"/>
        <v>16500</v>
      </c>
      <c r="L61" s="24">
        <f t="shared" si="13"/>
        <v>5000</v>
      </c>
      <c r="M61" s="24">
        <f t="shared" si="14"/>
        <v>1000</v>
      </c>
      <c r="N61" s="24">
        <f t="shared" si="15"/>
        <v>3000</v>
      </c>
      <c r="O61" s="24">
        <v>22400</v>
      </c>
      <c r="P61" s="24">
        <v>14330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6"/>
        <v>62230</v>
      </c>
      <c r="AA61" s="24">
        <v>0</v>
      </c>
      <c r="AB61" s="20">
        <f t="shared" si="17"/>
        <v>62230</v>
      </c>
      <c r="AC61" s="24" t="str">
        <f t="shared" si="7"/>
        <v/>
      </c>
      <c r="AD61" s="24" t="str">
        <f t="shared" si="8"/>
        <v/>
      </c>
      <c r="AE61" s="24" t="str">
        <f t="shared" si="9"/>
        <v/>
      </c>
      <c r="AF61" s="25" t="str">
        <f t="shared" si="10"/>
        <v/>
      </c>
    </row>
    <row r="62" spans="1:32" x14ac:dyDescent="0.25">
      <c r="A62" s="22" t="s">
        <v>85</v>
      </c>
      <c r="B62" s="22" t="s">
        <v>87</v>
      </c>
      <c r="C62" s="22" t="s">
        <v>59</v>
      </c>
      <c r="D62" s="23">
        <v>0.25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1"/>
        <v>0</v>
      </c>
      <c r="K62" s="24">
        <f t="shared" si="12"/>
        <v>21000</v>
      </c>
      <c r="L62" s="24">
        <f t="shared" si="13"/>
        <v>4000</v>
      </c>
      <c r="M62" s="24">
        <f t="shared" si="14"/>
        <v>0</v>
      </c>
      <c r="N62" s="24">
        <f t="shared" si="15"/>
        <v>3750</v>
      </c>
      <c r="O62" s="24">
        <v>27330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6"/>
        <v>69310</v>
      </c>
      <c r="AA62" s="24">
        <v>0</v>
      </c>
      <c r="AB62" s="20">
        <f t="shared" si="17"/>
        <v>69310</v>
      </c>
      <c r="AC62" s="24" t="str">
        <f t="shared" si="7"/>
        <v/>
      </c>
      <c r="AD62" s="24" t="str">
        <f t="shared" si="8"/>
        <v/>
      </c>
      <c r="AE62" s="24" t="str">
        <f t="shared" si="9"/>
        <v/>
      </c>
      <c r="AF62" s="25" t="str">
        <f t="shared" si="10"/>
        <v/>
      </c>
    </row>
    <row r="63" spans="1:32" x14ac:dyDescent="0.25">
      <c r="A63" s="22" t="s">
        <v>195</v>
      </c>
      <c r="B63" s="22" t="s">
        <v>196</v>
      </c>
      <c r="C63" s="22" t="s">
        <v>36</v>
      </c>
      <c r="D63" s="23">
        <v>0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1"/>
        <v>0</v>
      </c>
      <c r="K63" s="24">
        <f t="shared" si="12"/>
        <v>33000</v>
      </c>
      <c r="L63" s="24">
        <f t="shared" si="13"/>
        <v>5000</v>
      </c>
      <c r="M63" s="24">
        <f t="shared" si="14"/>
        <v>2000</v>
      </c>
      <c r="N63" s="24">
        <f t="shared" si="15"/>
        <v>6000</v>
      </c>
      <c r="O63" s="24">
        <v>19500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6"/>
        <v>79830</v>
      </c>
      <c r="AA63" s="24">
        <v>0</v>
      </c>
      <c r="AB63" s="20">
        <f t="shared" si="17"/>
        <v>79830</v>
      </c>
      <c r="AC63" s="24" t="str">
        <f t="shared" si="7"/>
        <v/>
      </c>
      <c r="AD63" s="24" t="str">
        <f t="shared" si="8"/>
        <v/>
      </c>
      <c r="AE63" s="24" t="str">
        <f t="shared" si="9"/>
        <v/>
      </c>
      <c r="AF63" s="25" t="str">
        <f t="shared" si="10"/>
        <v/>
      </c>
    </row>
    <row r="64" spans="1:32" x14ac:dyDescent="0.25">
      <c r="A64" s="22" t="s">
        <v>213</v>
      </c>
      <c r="B64" s="22" t="s">
        <v>223</v>
      </c>
      <c r="C64" s="22" t="s">
        <v>49</v>
      </c>
      <c r="D64" s="23">
        <v>0.5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 t="shared" si="11"/>
        <v>0</v>
      </c>
      <c r="K64" s="24">
        <f t="shared" si="12"/>
        <v>13000</v>
      </c>
      <c r="L64" s="24">
        <f t="shared" si="13"/>
        <v>4000</v>
      </c>
      <c r="M64" s="24">
        <f t="shared" si="14"/>
        <v>500</v>
      </c>
      <c r="N64" s="24">
        <f t="shared" si="15"/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6"/>
        <v>29640</v>
      </c>
      <c r="AA64" s="24">
        <v>0</v>
      </c>
      <c r="AB64" s="20">
        <f t="shared" si="17"/>
        <v>29640</v>
      </c>
      <c r="AC64" s="24" t="str">
        <f t="shared" si="7"/>
        <v/>
      </c>
      <c r="AD64" s="24" t="str">
        <f t="shared" si="8"/>
        <v/>
      </c>
      <c r="AE64" s="24" t="str">
        <f t="shared" si="9"/>
        <v/>
      </c>
      <c r="AF64" s="25" t="str">
        <f t="shared" si="10"/>
        <v/>
      </c>
    </row>
    <row r="65" spans="1:32" x14ac:dyDescent="0.25">
      <c r="A65" s="22" t="s">
        <v>157</v>
      </c>
      <c r="B65" s="22" t="s">
        <v>73</v>
      </c>
      <c r="C65" s="22" t="s">
        <v>44</v>
      </c>
      <c r="D65" s="23">
        <v>0.5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 t="shared" si="11"/>
        <v>0</v>
      </c>
      <c r="K65" s="24">
        <f t="shared" si="12"/>
        <v>13000</v>
      </c>
      <c r="L65" s="24">
        <f t="shared" si="13"/>
        <v>4000</v>
      </c>
      <c r="M65" s="24">
        <f t="shared" si="14"/>
        <v>0</v>
      </c>
      <c r="N65" s="24">
        <f t="shared" si="15"/>
        <v>0</v>
      </c>
      <c r="O65" s="24">
        <v>13380</v>
      </c>
      <c r="P65" s="24">
        <v>7550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8000</v>
      </c>
      <c r="Z65" s="24">
        <f t="shared" si="16"/>
        <v>45930</v>
      </c>
      <c r="AA65" s="24">
        <v>0</v>
      </c>
      <c r="AB65" s="20">
        <f t="shared" si="17"/>
        <v>45930</v>
      </c>
      <c r="AC65" s="24" t="str">
        <f t="shared" si="7"/>
        <v/>
      </c>
      <c r="AD65" s="24" t="str">
        <f t="shared" si="8"/>
        <v/>
      </c>
      <c r="AE65" s="24" t="str">
        <f t="shared" si="9"/>
        <v/>
      </c>
      <c r="AF65" s="25" t="str">
        <f t="shared" si="10"/>
        <v/>
      </c>
    </row>
    <row r="66" spans="1:32" x14ac:dyDescent="0.25">
      <c r="A66" s="22" t="s">
        <v>157</v>
      </c>
      <c r="B66" s="22" t="s">
        <v>158</v>
      </c>
      <c r="C66" s="22" t="s">
        <v>44</v>
      </c>
      <c r="D66" s="23">
        <v>0.5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 t="shared" ref="J66:J97" si="18">(1-$D66)*E66</f>
        <v>0</v>
      </c>
      <c r="K66" s="24">
        <f t="shared" ref="K66:K97" si="19">(1-$D66)*F66</f>
        <v>13000</v>
      </c>
      <c r="L66" s="24">
        <f t="shared" ref="L66:L97" si="20">G66</f>
        <v>4000</v>
      </c>
      <c r="M66" s="24">
        <f t="shared" ref="M66:M97" si="21">(1-$D66)*H66</f>
        <v>0</v>
      </c>
      <c r="N66" s="24">
        <f t="shared" ref="N66:N97" si="22"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8000</v>
      </c>
      <c r="Z66" s="24">
        <f t="shared" ref="Z66:Z97" si="23">SUM(J66:Y66)</f>
        <v>45930</v>
      </c>
      <c r="AA66" s="24">
        <v>0</v>
      </c>
      <c r="AB66" s="20">
        <f t="shared" ref="AB66:AB97" si="24">Z66-AA66</f>
        <v>45930</v>
      </c>
      <c r="AC66" s="24" t="str">
        <f t="shared" si="7"/>
        <v/>
      </c>
      <c r="AD66" s="24" t="str">
        <f t="shared" si="8"/>
        <v/>
      </c>
      <c r="AE66" s="24" t="str">
        <f t="shared" si="9"/>
        <v/>
      </c>
      <c r="AF66" s="25" t="str">
        <f t="shared" si="10"/>
        <v/>
      </c>
    </row>
    <row r="67" spans="1:32" x14ac:dyDescent="0.25">
      <c r="A67" s="22" t="s">
        <v>157</v>
      </c>
      <c r="B67" s="22" t="s">
        <v>222</v>
      </c>
      <c r="C67" s="22" t="s">
        <v>59</v>
      </c>
      <c r="D67" s="23">
        <v>0.5</v>
      </c>
      <c r="E67" s="24">
        <v>0</v>
      </c>
      <c r="F67" s="24">
        <v>28000</v>
      </c>
      <c r="G67" s="24">
        <v>4000</v>
      </c>
      <c r="H67" s="24">
        <v>0</v>
      </c>
      <c r="I67" s="24">
        <v>5000</v>
      </c>
      <c r="J67" s="24">
        <f t="shared" si="18"/>
        <v>0</v>
      </c>
      <c r="K67" s="24">
        <f t="shared" si="19"/>
        <v>14000</v>
      </c>
      <c r="L67" s="24">
        <f t="shared" si="20"/>
        <v>4000</v>
      </c>
      <c r="M67" s="24">
        <f t="shared" si="21"/>
        <v>0</v>
      </c>
      <c r="N67" s="24">
        <f t="shared" si="22"/>
        <v>2500</v>
      </c>
      <c r="O67" s="24">
        <v>27330</v>
      </c>
      <c r="P67" s="24">
        <v>13230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8080</v>
      </c>
      <c r="Z67" s="24">
        <f t="shared" si="23"/>
        <v>69140</v>
      </c>
      <c r="AA67" s="24">
        <v>0</v>
      </c>
      <c r="AB67" s="20">
        <f t="shared" si="24"/>
        <v>69140</v>
      </c>
      <c r="AC67" s="24" t="str">
        <f t="shared" ref="AC67:AC120" si="25">IF(AND($T67=6000, ($T67+$W67-$AB67)&gt;=6000),T67,"")</f>
        <v/>
      </c>
      <c r="AD67" s="24" t="str">
        <f t="shared" ref="AD67:AD120" si="26">IF(AND($T67=8000, ($T67+$W67-$AB67)&gt;=8000),T67,"")</f>
        <v/>
      </c>
      <c r="AE67" s="24" t="str">
        <f t="shared" ref="AE67:AE120" si="27">IF(($T67+$W67-$AB67)&gt;=$T67+8000,W67,"")</f>
        <v/>
      </c>
      <c r="AF67" s="25" t="str">
        <f t="shared" ref="AF67:AF120" si="28">IF(AB67&lt;=0,"BONUS","")</f>
        <v/>
      </c>
    </row>
    <row r="68" spans="1:32" x14ac:dyDescent="0.25">
      <c r="A68" s="22" t="s">
        <v>171</v>
      </c>
      <c r="B68" s="22" t="s">
        <v>172</v>
      </c>
      <c r="C68" s="22" t="s">
        <v>49</v>
      </c>
      <c r="D68" s="23">
        <v>0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 t="shared" si="18"/>
        <v>0</v>
      </c>
      <c r="K68" s="24">
        <f t="shared" si="19"/>
        <v>26000</v>
      </c>
      <c r="L68" s="24">
        <f t="shared" si="20"/>
        <v>4000</v>
      </c>
      <c r="M68" s="24">
        <f t="shared" si="21"/>
        <v>1000</v>
      </c>
      <c r="N68" s="24">
        <f t="shared" si="22"/>
        <v>0</v>
      </c>
      <c r="O68" s="24">
        <v>6840</v>
      </c>
      <c r="P68" s="24">
        <v>5300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3"/>
        <v>43140</v>
      </c>
      <c r="AA68" s="24">
        <v>0</v>
      </c>
      <c r="AB68" s="20">
        <f t="shared" si="24"/>
        <v>43140</v>
      </c>
      <c r="AC68" s="24" t="str">
        <f t="shared" si="25"/>
        <v/>
      </c>
      <c r="AD68" s="24" t="str">
        <f t="shared" si="26"/>
        <v/>
      </c>
      <c r="AE68" s="24" t="str">
        <f t="shared" si="27"/>
        <v/>
      </c>
      <c r="AF68" s="25" t="str">
        <f t="shared" si="28"/>
        <v/>
      </c>
    </row>
    <row r="69" spans="1:32" x14ac:dyDescent="0.25">
      <c r="A69" s="22" t="s">
        <v>88</v>
      </c>
      <c r="B69" s="22" t="s">
        <v>206</v>
      </c>
      <c r="C69" s="22" t="s">
        <v>47</v>
      </c>
      <c r="D69" s="23">
        <v>0.25</v>
      </c>
      <c r="E69" s="24">
        <v>0</v>
      </c>
      <c r="F69" s="24">
        <v>26000</v>
      </c>
      <c r="G69" s="24">
        <v>4000</v>
      </c>
      <c r="H69" s="24">
        <v>0</v>
      </c>
      <c r="I69" s="24">
        <v>0</v>
      </c>
      <c r="J69" s="24">
        <f t="shared" si="18"/>
        <v>0</v>
      </c>
      <c r="K69" s="24">
        <f t="shared" si="19"/>
        <v>19500</v>
      </c>
      <c r="L69" s="24">
        <f t="shared" si="20"/>
        <v>4000</v>
      </c>
      <c r="M69" s="24">
        <f t="shared" si="21"/>
        <v>0</v>
      </c>
      <c r="N69" s="24">
        <f t="shared" si="22"/>
        <v>0</v>
      </c>
      <c r="O69" s="24">
        <v>24930</v>
      </c>
      <c r="P69" s="24">
        <v>10730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3"/>
        <v>65160</v>
      </c>
      <c r="AA69" s="24">
        <v>0</v>
      </c>
      <c r="AB69" s="20">
        <f t="shared" si="24"/>
        <v>65160</v>
      </c>
      <c r="AC69" s="24" t="str">
        <f t="shared" si="25"/>
        <v/>
      </c>
      <c r="AD69" s="24" t="str">
        <f t="shared" si="26"/>
        <v/>
      </c>
      <c r="AE69" s="24" t="str">
        <f t="shared" si="27"/>
        <v/>
      </c>
      <c r="AF69" s="25" t="str">
        <f t="shared" si="28"/>
        <v/>
      </c>
    </row>
    <row r="70" spans="1:32" x14ac:dyDescent="0.25">
      <c r="A70" s="22" t="s">
        <v>88</v>
      </c>
      <c r="B70" s="22" t="s">
        <v>219</v>
      </c>
      <c r="C70" s="22" t="s">
        <v>49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18"/>
        <v>0</v>
      </c>
      <c r="K70" s="24">
        <f t="shared" si="19"/>
        <v>19500</v>
      </c>
      <c r="L70" s="24">
        <f t="shared" si="20"/>
        <v>4000</v>
      </c>
      <c r="M70" s="24">
        <f t="shared" si="21"/>
        <v>750</v>
      </c>
      <c r="N70" s="24">
        <f t="shared" si="22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-500</v>
      </c>
      <c r="Z70" s="24">
        <f t="shared" si="23"/>
        <v>35890</v>
      </c>
      <c r="AA70" s="24">
        <v>0</v>
      </c>
      <c r="AB70" s="20">
        <f t="shared" si="24"/>
        <v>35890</v>
      </c>
      <c r="AC70" s="24" t="str">
        <f t="shared" si="25"/>
        <v/>
      </c>
      <c r="AD70" s="24" t="str">
        <f t="shared" si="26"/>
        <v/>
      </c>
      <c r="AE70" s="24" t="str">
        <f t="shared" si="27"/>
        <v/>
      </c>
      <c r="AF70" s="25" t="str">
        <f t="shared" si="28"/>
        <v/>
      </c>
    </row>
    <row r="71" spans="1:32" x14ac:dyDescent="0.25">
      <c r="A71" s="22" t="s">
        <v>159</v>
      </c>
      <c r="B71" s="22" t="s">
        <v>160</v>
      </c>
      <c r="C71" s="22" t="s">
        <v>44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18"/>
        <v>0</v>
      </c>
      <c r="K71" s="24">
        <f t="shared" si="19"/>
        <v>19500</v>
      </c>
      <c r="L71" s="24">
        <f t="shared" si="20"/>
        <v>4000</v>
      </c>
      <c r="M71" s="24">
        <f t="shared" si="21"/>
        <v>0</v>
      </c>
      <c r="N71" s="24">
        <f t="shared" si="22"/>
        <v>0</v>
      </c>
      <c r="O71" s="24">
        <v>13380</v>
      </c>
      <c r="P71" s="24">
        <v>7550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3"/>
        <v>50430</v>
      </c>
      <c r="AA71" s="24">
        <v>0</v>
      </c>
      <c r="AB71" s="20">
        <f t="shared" si="24"/>
        <v>50430</v>
      </c>
      <c r="AC71" s="24" t="str">
        <f t="shared" si="25"/>
        <v/>
      </c>
      <c r="AD71" s="24" t="str">
        <f t="shared" si="26"/>
        <v/>
      </c>
      <c r="AE71" s="24" t="str">
        <f t="shared" si="27"/>
        <v/>
      </c>
      <c r="AF71" s="25" t="str">
        <f t="shared" si="28"/>
        <v/>
      </c>
    </row>
    <row r="72" spans="1:32" x14ac:dyDescent="0.25">
      <c r="A72" s="22" t="s">
        <v>159</v>
      </c>
      <c r="B72" s="22" t="s">
        <v>215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18"/>
        <v>0</v>
      </c>
      <c r="K72" s="24">
        <f t="shared" si="19"/>
        <v>19500</v>
      </c>
      <c r="L72" s="24">
        <f t="shared" si="20"/>
        <v>4000</v>
      </c>
      <c r="M72" s="24">
        <f t="shared" si="21"/>
        <v>750</v>
      </c>
      <c r="N72" s="24">
        <f t="shared" si="22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3"/>
        <v>36390</v>
      </c>
      <c r="AA72" s="24">
        <v>0</v>
      </c>
      <c r="AB72" s="20">
        <f t="shared" si="24"/>
        <v>36390</v>
      </c>
      <c r="AC72" s="24" t="str">
        <f t="shared" si="25"/>
        <v/>
      </c>
      <c r="AD72" s="24" t="str">
        <f t="shared" si="26"/>
        <v/>
      </c>
      <c r="AE72" s="24" t="str">
        <f t="shared" si="27"/>
        <v/>
      </c>
      <c r="AF72" s="25" t="str">
        <f t="shared" si="28"/>
        <v/>
      </c>
    </row>
    <row r="73" spans="1:32" x14ac:dyDescent="0.25">
      <c r="A73" s="22" t="s">
        <v>161</v>
      </c>
      <c r="B73" s="22" t="s">
        <v>163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18"/>
        <v>0</v>
      </c>
      <c r="K73" s="24">
        <f t="shared" si="19"/>
        <v>19500</v>
      </c>
      <c r="L73" s="24">
        <f t="shared" si="20"/>
        <v>4000</v>
      </c>
      <c r="M73" s="24">
        <f t="shared" si="21"/>
        <v>0</v>
      </c>
      <c r="N73" s="24">
        <f t="shared" si="22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3"/>
        <v>50430</v>
      </c>
      <c r="AA73" s="24">
        <v>0</v>
      </c>
      <c r="AB73" s="20">
        <f t="shared" si="24"/>
        <v>50430</v>
      </c>
      <c r="AC73" s="24" t="str">
        <f t="shared" si="25"/>
        <v/>
      </c>
      <c r="AD73" s="24" t="str">
        <f t="shared" si="26"/>
        <v/>
      </c>
      <c r="AE73" s="24" t="str">
        <f t="shared" si="27"/>
        <v/>
      </c>
      <c r="AF73" s="25" t="str">
        <f t="shared" si="28"/>
        <v/>
      </c>
    </row>
    <row r="74" spans="1:32" x14ac:dyDescent="0.25">
      <c r="A74" s="22" t="s">
        <v>161</v>
      </c>
      <c r="B74" s="22" t="s">
        <v>162</v>
      </c>
      <c r="C74" s="22" t="s">
        <v>46</v>
      </c>
      <c r="D74" s="23">
        <v>0.25</v>
      </c>
      <c r="E74" s="24">
        <v>0</v>
      </c>
      <c r="F74" s="24">
        <v>28000</v>
      </c>
      <c r="G74" s="24">
        <v>4000</v>
      </c>
      <c r="H74" s="24">
        <v>0</v>
      </c>
      <c r="I74" s="24">
        <v>5000</v>
      </c>
      <c r="J74" s="24">
        <f t="shared" si="18"/>
        <v>0</v>
      </c>
      <c r="K74" s="24">
        <f t="shared" si="19"/>
        <v>21000</v>
      </c>
      <c r="L74" s="24">
        <f t="shared" si="20"/>
        <v>4000</v>
      </c>
      <c r="M74" s="24">
        <f t="shared" si="21"/>
        <v>0</v>
      </c>
      <c r="N74" s="24">
        <f t="shared" si="22"/>
        <v>3750</v>
      </c>
      <c r="O74" s="24">
        <v>27310</v>
      </c>
      <c r="P74" s="24">
        <v>13230</v>
      </c>
      <c r="Q74" s="24">
        <v>0</v>
      </c>
      <c r="R74" s="24">
        <v>0</v>
      </c>
      <c r="S74" s="24">
        <v>0</v>
      </c>
      <c r="T74" s="24">
        <v>6000</v>
      </c>
      <c r="U74" s="24">
        <v>0</v>
      </c>
      <c r="V74" s="24">
        <v>0</v>
      </c>
      <c r="W74" s="24">
        <v>0</v>
      </c>
      <c r="X74" s="24">
        <v>0</v>
      </c>
      <c r="Y74" s="24">
        <v>-695</v>
      </c>
      <c r="Z74" s="24">
        <f t="shared" si="23"/>
        <v>74595</v>
      </c>
      <c r="AA74" s="24">
        <v>0</v>
      </c>
      <c r="AB74" s="20">
        <f t="shared" si="24"/>
        <v>74595</v>
      </c>
      <c r="AC74" s="24" t="str">
        <f t="shared" si="25"/>
        <v/>
      </c>
      <c r="AD74" s="24" t="str">
        <f t="shared" si="26"/>
        <v/>
      </c>
      <c r="AE74" s="24" t="str">
        <f t="shared" si="27"/>
        <v/>
      </c>
      <c r="AF74" s="25" t="str">
        <f t="shared" si="28"/>
        <v/>
      </c>
    </row>
    <row r="75" spans="1:32" x14ac:dyDescent="0.25">
      <c r="A75" s="22" t="s">
        <v>237</v>
      </c>
      <c r="B75" s="22" t="s">
        <v>238</v>
      </c>
      <c r="C75" s="22" t="s">
        <v>44</v>
      </c>
      <c r="D75" s="23">
        <v>0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18"/>
        <v>0</v>
      </c>
      <c r="K75" s="24">
        <f t="shared" si="19"/>
        <v>26000</v>
      </c>
      <c r="L75" s="24">
        <f t="shared" si="20"/>
        <v>4000</v>
      </c>
      <c r="M75" s="24">
        <f t="shared" si="21"/>
        <v>0</v>
      </c>
      <c r="N75" s="24">
        <f t="shared" si="22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14000</v>
      </c>
      <c r="Z75" s="24">
        <f t="shared" si="23"/>
        <v>64930</v>
      </c>
      <c r="AA75" s="24">
        <v>0</v>
      </c>
      <c r="AB75" s="20">
        <f t="shared" si="24"/>
        <v>64930</v>
      </c>
      <c r="AC75" s="24" t="str">
        <f t="shared" si="25"/>
        <v/>
      </c>
      <c r="AD75" s="24" t="str">
        <f t="shared" si="26"/>
        <v/>
      </c>
      <c r="AE75" s="24" t="str">
        <f t="shared" si="27"/>
        <v/>
      </c>
      <c r="AF75" s="25" t="str">
        <f t="shared" si="28"/>
        <v/>
      </c>
    </row>
    <row r="76" spans="1:32" x14ac:dyDescent="0.25">
      <c r="A76" s="22" t="s">
        <v>89</v>
      </c>
      <c r="B76" s="22" t="s">
        <v>92</v>
      </c>
      <c r="C76" s="22" t="s">
        <v>36</v>
      </c>
      <c r="D76" s="23">
        <v>0.3</v>
      </c>
      <c r="E76" s="24">
        <v>0</v>
      </c>
      <c r="F76" s="24">
        <v>33000</v>
      </c>
      <c r="G76" s="24">
        <v>5000</v>
      </c>
      <c r="H76" s="24">
        <v>2000</v>
      </c>
      <c r="I76" s="24">
        <v>6000</v>
      </c>
      <c r="J76" s="24">
        <f t="shared" si="18"/>
        <v>0</v>
      </c>
      <c r="K76" s="24">
        <f t="shared" si="19"/>
        <v>23100</v>
      </c>
      <c r="L76" s="24">
        <f t="shared" si="20"/>
        <v>5000</v>
      </c>
      <c r="M76" s="24">
        <f t="shared" si="21"/>
        <v>1400</v>
      </c>
      <c r="N76" s="24">
        <f t="shared" si="22"/>
        <v>4200</v>
      </c>
      <c r="O76" s="24">
        <v>19500</v>
      </c>
      <c r="P76" s="24">
        <v>14330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 t="shared" si="23"/>
        <v>67530</v>
      </c>
      <c r="AA76" s="24">
        <v>0</v>
      </c>
      <c r="AB76" s="20">
        <f t="shared" si="24"/>
        <v>67530</v>
      </c>
      <c r="AC76" s="24" t="str">
        <f t="shared" si="25"/>
        <v/>
      </c>
      <c r="AD76" s="24" t="str">
        <f t="shared" si="26"/>
        <v/>
      </c>
      <c r="AE76" s="24" t="str">
        <f t="shared" si="27"/>
        <v/>
      </c>
      <c r="AF76" s="25" t="str">
        <f t="shared" si="28"/>
        <v/>
      </c>
    </row>
    <row r="77" spans="1:32" x14ac:dyDescent="0.25">
      <c r="A77" s="22" t="s">
        <v>89</v>
      </c>
      <c r="B77" s="22" t="s">
        <v>91</v>
      </c>
      <c r="C77" s="22" t="s">
        <v>46</v>
      </c>
      <c r="D77" s="23">
        <v>0.25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 t="shared" si="18"/>
        <v>0</v>
      </c>
      <c r="K77" s="24">
        <f t="shared" si="19"/>
        <v>21000</v>
      </c>
      <c r="L77" s="24">
        <f t="shared" si="20"/>
        <v>4000</v>
      </c>
      <c r="M77" s="24">
        <f t="shared" si="21"/>
        <v>0</v>
      </c>
      <c r="N77" s="24">
        <f t="shared" si="22"/>
        <v>3750</v>
      </c>
      <c r="O77" s="24">
        <v>27310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450</v>
      </c>
      <c r="Z77" s="24">
        <f t="shared" si="23"/>
        <v>69740</v>
      </c>
      <c r="AA77" s="24">
        <v>0</v>
      </c>
      <c r="AB77" s="20">
        <f t="shared" si="24"/>
        <v>69740</v>
      </c>
      <c r="AC77" s="24" t="str">
        <f t="shared" si="25"/>
        <v/>
      </c>
      <c r="AD77" s="24" t="str">
        <f t="shared" si="26"/>
        <v/>
      </c>
      <c r="AE77" s="24" t="str">
        <f t="shared" si="27"/>
        <v/>
      </c>
      <c r="AF77" s="25" t="str">
        <f t="shared" si="28"/>
        <v/>
      </c>
    </row>
    <row r="78" spans="1:32" x14ac:dyDescent="0.25">
      <c r="A78" s="22" t="s">
        <v>89</v>
      </c>
      <c r="B78" s="22" t="s">
        <v>90</v>
      </c>
      <c r="C78" s="22" t="s">
        <v>70</v>
      </c>
      <c r="D78" s="23">
        <v>1</v>
      </c>
      <c r="E78" s="24">
        <v>0</v>
      </c>
      <c r="F78" s="24">
        <v>40000</v>
      </c>
      <c r="G78" s="24">
        <v>5000</v>
      </c>
      <c r="H78" s="24">
        <v>2000</v>
      </c>
      <c r="I78" s="24">
        <v>8000</v>
      </c>
      <c r="J78" s="24">
        <f t="shared" si="18"/>
        <v>0</v>
      </c>
      <c r="K78" s="24">
        <f t="shared" si="19"/>
        <v>0</v>
      </c>
      <c r="L78" s="24">
        <f t="shared" si="20"/>
        <v>5000</v>
      </c>
      <c r="M78" s="24">
        <f t="shared" si="21"/>
        <v>0</v>
      </c>
      <c r="N78" s="24">
        <f t="shared" si="22"/>
        <v>0</v>
      </c>
      <c r="O78" s="24">
        <v>11880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3"/>
        <v>31210</v>
      </c>
      <c r="AA78" s="24">
        <v>0</v>
      </c>
      <c r="AB78" s="20">
        <f t="shared" si="24"/>
        <v>31210</v>
      </c>
      <c r="AC78" s="24" t="str">
        <f t="shared" si="25"/>
        <v/>
      </c>
      <c r="AD78" s="24" t="str">
        <f t="shared" si="26"/>
        <v/>
      </c>
      <c r="AE78" s="24" t="str">
        <f t="shared" si="27"/>
        <v/>
      </c>
      <c r="AF78" s="25" t="str">
        <f t="shared" si="28"/>
        <v/>
      </c>
    </row>
    <row r="79" spans="1:32" x14ac:dyDescent="0.25">
      <c r="A79" s="22" t="s">
        <v>93</v>
      </c>
      <c r="B79" s="22" t="s">
        <v>94</v>
      </c>
      <c r="C79" s="22" t="s">
        <v>44</v>
      </c>
      <c r="D79" s="23">
        <v>0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18"/>
        <v>0</v>
      </c>
      <c r="K79" s="24">
        <f t="shared" si="19"/>
        <v>26000</v>
      </c>
      <c r="L79" s="24">
        <f t="shared" si="20"/>
        <v>4000</v>
      </c>
      <c r="M79" s="24">
        <f t="shared" si="21"/>
        <v>0</v>
      </c>
      <c r="N79" s="24">
        <f t="shared" si="22"/>
        <v>0</v>
      </c>
      <c r="O79" s="24">
        <v>13380</v>
      </c>
      <c r="P79" s="24">
        <v>7550</v>
      </c>
      <c r="Q79" s="24">
        <v>8000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7000</v>
      </c>
      <c r="Z79" s="24">
        <f t="shared" si="23"/>
        <v>65930</v>
      </c>
      <c r="AA79" s="24">
        <v>0</v>
      </c>
      <c r="AB79" s="20">
        <f t="shared" si="24"/>
        <v>65930</v>
      </c>
      <c r="AC79" s="24" t="str">
        <f t="shared" si="25"/>
        <v/>
      </c>
      <c r="AD79" s="24" t="str">
        <f t="shared" si="26"/>
        <v/>
      </c>
      <c r="AE79" s="24" t="str">
        <f t="shared" si="27"/>
        <v/>
      </c>
      <c r="AF79" s="25" t="str">
        <f t="shared" si="28"/>
        <v/>
      </c>
    </row>
    <row r="80" spans="1:32" x14ac:dyDescent="0.25">
      <c r="A80" s="22" t="s">
        <v>207</v>
      </c>
      <c r="B80" s="22" t="s">
        <v>217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18"/>
        <v>0</v>
      </c>
      <c r="K80" s="24">
        <f t="shared" si="19"/>
        <v>19500</v>
      </c>
      <c r="L80" s="24">
        <f t="shared" si="20"/>
        <v>4000</v>
      </c>
      <c r="M80" s="24">
        <f t="shared" si="21"/>
        <v>750</v>
      </c>
      <c r="N80" s="24">
        <f t="shared" si="22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19200</v>
      </c>
      <c r="Z80" s="24">
        <f t="shared" si="23"/>
        <v>55590</v>
      </c>
      <c r="AA80" s="24">
        <v>0</v>
      </c>
      <c r="AB80" s="20">
        <f t="shared" si="24"/>
        <v>55590</v>
      </c>
      <c r="AC80" s="24" t="str">
        <f t="shared" si="25"/>
        <v/>
      </c>
      <c r="AD80" s="24" t="str">
        <f t="shared" si="26"/>
        <v/>
      </c>
      <c r="AE80" s="24" t="str">
        <f t="shared" si="27"/>
        <v/>
      </c>
      <c r="AF80" s="25" t="str">
        <f t="shared" si="28"/>
        <v/>
      </c>
    </row>
    <row r="81" spans="1:32" x14ac:dyDescent="0.25">
      <c r="A81" s="22" t="s">
        <v>207</v>
      </c>
      <c r="B81" s="22" t="s">
        <v>216</v>
      </c>
      <c r="C81" s="22" t="s">
        <v>49</v>
      </c>
      <c r="D81" s="23">
        <v>0.25</v>
      </c>
      <c r="E81" s="24">
        <v>0</v>
      </c>
      <c r="F81" s="24">
        <v>26000</v>
      </c>
      <c r="G81" s="24">
        <v>4000</v>
      </c>
      <c r="H81" s="24">
        <v>1000</v>
      </c>
      <c r="I81" s="24">
        <v>0</v>
      </c>
      <c r="J81" s="24">
        <f t="shared" si="18"/>
        <v>0</v>
      </c>
      <c r="K81" s="24">
        <f t="shared" si="19"/>
        <v>19500</v>
      </c>
      <c r="L81" s="24">
        <f t="shared" si="20"/>
        <v>4000</v>
      </c>
      <c r="M81" s="24">
        <f t="shared" si="21"/>
        <v>750</v>
      </c>
      <c r="N81" s="24">
        <f t="shared" si="22"/>
        <v>0</v>
      </c>
      <c r="O81" s="24">
        <v>6840</v>
      </c>
      <c r="P81" s="24">
        <v>5300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19200</v>
      </c>
      <c r="Z81" s="24">
        <f t="shared" si="23"/>
        <v>55590</v>
      </c>
      <c r="AA81" s="24">
        <v>0</v>
      </c>
      <c r="AB81" s="20">
        <f t="shared" si="24"/>
        <v>55590</v>
      </c>
      <c r="AC81" s="24" t="str">
        <f t="shared" si="25"/>
        <v/>
      </c>
      <c r="AD81" s="24" t="str">
        <f t="shared" si="26"/>
        <v/>
      </c>
      <c r="AE81" s="24" t="str">
        <f t="shared" si="27"/>
        <v/>
      </c>
      <c r="AF81" s="25" t="str">
        <f t="shared" si="28"/>
        <v/>
      </c>
    </row>
    <row r="82" spans="1:32" x14ac:dyDescent="0.25">
      <c r="A82" s="22" t="s">
        <v>95</v>
      </c>
      <c r="B82" s="22" t="s">
        <v>96</v>
      </c>
      <c r="C82" s="22" t="s">
        <v>52</v>
      </c>
      <c r="D82" s="23">
        <v>0</v>
      </c>
      <c r="E82" s="24">
        <v>0</v>
      </c>
      <c r="F82" s="24">
        <v>40000</v>
      </c>
      <c r="G82" s="24">
        <v>5000</v>
      </c>
      <c r="H82" s="24">
        <v>2000</v>
      </c>
      <c r="I82" s="24">
        <v>8000</v>
      </c>
      <c r="J82" s="24">
        <f t="shared" si="18"/>
        <v>0</v>
      </c>
      <c r="K82" s="24">
        <f t="shared" si="19"/>
        <v>40000</v>
      </c>
      <c r="L82" s="24">
        <f t="shared" si="20"/>
        <v>5000</v>
      </c>
      <c r="M82" s="24">
        <f t="shared" si="21"/>
        <v>2000</v>
      </c>
      <c r="N82" s="24">
        <f t="shared" si="22"/>
        <v>8000</v>
      </c>
      <c r="O82" s="24">
        <v>11880</v>
      </c>
      <c r="P82" s="24">
        <v>14330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5830</v>
      </c>
      <c r="Z82" s="24">
        <f t="shared" si="23"/>
        <v>87040</v>
      </c>
      <c r="AA82" s="24">
        <v>0</v>
      </c>
      <c r="AB82" s="20">
        <f t="shared" si="24"/>
        <v>87040</v>
      </c>
      <c r="AC82" s="24" t="str">
        <f t="shared" si="25"/>
        <v/>
      </c>
      <c r="AD82" s="24" t="str">
        <f t="shared" si="26"/>
        <v/>
      </c>
      <c r="AE82" s="24" t="str">
        <f t="shared" si="27"/>
        <v/>
      </c>
      <c r="AF82" s="25" t="str">
        <f t="shared" si="28"/>
        <v/>
      </c>
    </row>
    <row r="83" spans="1:32" x14ac:dyDescent="0.25">
      <c r="A83" s="22" t="s">
        <v>98</v>
      </c>
      <c r="B83" s="22" t="s">
        <v>145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18"/>
        <v>0</v>
      </c>
      <c r="K83" s="24">
        <f t="shared" si="19"/>
        <v>19500</v>
      </c>
      <c r="L83" s="24">
        <f t="shared" si="20"/>
        <v>4000</v>
      </c>
      <c r="M83" s="24">
        <f t="shared" si="21"/>
        <v>750</v>
      </c>
      <c r="N83" s="24">
        <f t="shared" si="22"/>
        <v>0</v>
      </c>
      <c r="O83" s="24">
        <v>6840</v>
      </c>
      <c r="P83" s="24">
        <v>5300</v>
      </c>
      <c r="Q83" s="24">
        <v>16000</v>
      </c>
      <c r="R83" s="24">
        <v>8000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3"/>
        <v>60390</v>
      </c>
      <c r="AA83" s="24">
        <v>0</v>
      </c>
      <c r="AB83" s="20">
        <f t="shared" si="24"/>
        <v>60390</v>
      </c>
      <c r="AC83" s="24" t="str">
        <f t="shared" si="25"/>
        <v/>
      </c>
      <c r="AD83" s="24" t="str">
        <f t="shared" si="26"/>
        <v/>
      </c>
      <c r="AE83" s="24" t="str">
        <f t="shared" si="27"/>
        <v/>
      </c>
      <c r="AF83" s="25" t="str">
        <f t="shared" si="28"/>
        <v/>
      </c>
    </row>
    <row r="84" spans="1:32" x14ac:dyDescent="0.25">
      <c r="A84" s="22" t="s">
        <v>98</v>
      </c>
      <c r="B84" s="22" t="s">
        <v>99</v>
      </c>
      <c r="C84" s="22" t="s">
        <v>33</v>
      </c>
      <c r="D84" s="23">
        <v>0.25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18"/>
        <v>0</v>
      </c>
      <c r="K84" s="24">
        <f t="shared" si="19"/>
        <v>21000</v>
      </c>
      <c r="L84" s="24">
        <f t="shared" si="20"/>
        <v>4000</v>
      </c>
      <c r="M84" s="24">
        <f t="shared" si="21"/>
        <v>1875</v>
      </c>
      <c r="N84" s="24">
        <f t="shared" si="22"/>
        <v>3750</v>
      </c>
      <c r="O84" s="24">
        <v>25970</v>
      </c>
      <c r="P84" s="24">
        <v>11330</v>
      </c>
      <c r="Q84" s="24">
        <v>16000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3"/>
        <v>83925</v>
      </c>
      <c r="AA84" s="24">
        <v>0</v>
      </c>
      <c r="AB84" s="20">
        <f t="shared" si="24"/>
        <v>83925</v>
      </c>
      <c r="AC84" s="24" t="str">
        <f t="shared" si="25"/>
        <v/>
      </c>
      <c r="AD84" s="24" t="str">
        <f t="shared" si="26"/>
        <v/>
      </c>
      <c r="AE84" s="24" t="str">
        <f t="shared" si="27"/>
        <v/>
      </c>
      <c r="AF84" s="25" t="str">
        <f t="shared" si="28"/>
        <v/>
      </c>
    </row>
    <row r="85" spans="1:32" x14ac:dyDescent="0.25">
      <c r="A85" s="22" t="s">
        <v>100</v>
      </c>
      <c r="B85" s="22" t="s">
        <v>101</v>
      </c>
      <c r="C85" s="22" t="s">
        <v>44</v>
      </c>
      <c r="D85" s="23">
        <v>0</v>
      </c>
      <c r="E85" s="24">
        <v>0</v>
      </c>
      <c r="F85" s="24">
        <v>26000</v>
      </c>
      <c r="G85" s="24">
        <v>4000</v>
      </c>
      <c r="H85" s="24">
        <v>0</v>
      </c>
      <c r="I85" s="24">
        <v>0</v>
      </c>
      <c r="J85" s="24">
        <f t="shared" si="18"/>
        <v>0</v>
      </c>
      <c r="K85" s="24">
        <f t="shared" si="19"/>
        <v>26000</v>
      </c>
      <c r="L85" s="24">
        <f t="shared" si="20"/>
        <v>4000</v>
      </c>
      <c r="M85" s="24">
        <f t="shared" si="21"/>
        <v>0</v>
      </c>
      <c r="N85" s="24">
        <f t="shared" si="22"/>
        <v>0</v>
      </c>
      <c r="O85" s="24">
        <v>13380</v>
      </c>
      <c r="P85" s="24">
        <v>7550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-3030</v>
      </c>
      <c r="Z85" s="24">
        <f t="shared" si="23"/>
        <v>47900</v>
      </c>
      <c r="AA85" s="24">
        <v>0</v>
      </c>
      <c r="AB85" s="20">
        <f t="shared" si="24"/>
        <v>47900</v>
      </c>
      <c r="AC85" s="24" t="str">
        <f t="shared" si="25"/>
        <v/>
      </c>
      <c r="AD85" s="24" t="str">
        <f t="shared" si="26"/>
        <v/>
      </c>
      <c r="AE85" s="24" t="str">
        <f t="shared" si="27"/>
        <v/>
      </c>
      <c r="AF85" s="25" t="str">
        <f t="shared" si="28"/>
        <v/>
      </c>
    </row>
    <row r="86" spans="1:32" x14ac:dyDescent="0.25">
      <c r="A86" s="22" t="s">
        <v>204</v>
      </c>
      <c r="B86" s="22" t="s">
        <v>205</v>
      </c>
      <c r="C86" s="22" t="s">
        <v>49</v>
      </c>
      <c r="D86" s="23">
        <v>0.25</v>
      </c>
      <c r="E86" s="24">
        <v>0</v>
      </c>
      <c r="F86" s="24">
        <v>26000</v>
      </c>
      <c r="G86" s="24">
        <v>4000</v>
      </c>
      <c r="H86" s="24">
        <v>1000</v>
      </c>
      <c r="I86" s="24">
        <v>0</v>
      </c>
      <c r="J86" s="24">
        <f t="shared" si="18"/>
        <v>0</v>
      </c>
      <c r="K86" s="24">
        <f t="shared" si="19"/>
        <v>19500</v>
      </c>
      <c r="L86" s="24">
        <f t="shared" si="20"/>
        <v>4000</v>
      </c>
      <c r="M86" s="24">
        <f t="shared" si="21"/>
        <v>750</v>
      </c>
      <c r="N86" s="24">
        <f t="shared" si="22"/>
        <v>0</v>
      </c>
      <c r="O86" s="24">
        <v>6840</v>
      </c>
      <c r="P86" s="24">
        <v>5300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3500</v>
      </c>
      <c r="Z86" s="24">
        <f t="shared" si="23"/>
        <v>39890</v>
      </c>
      <c r="AA86" s="24">
        <v>0</v>
      </c>
      <c r="AB86" s="20">
        <f t="shared" si="24"/>
        <v>39890</v>
      </c>
      <c r="AC86" s="24" t="str">
        <f t="shared" si="25"/>
        <v/>
      </c>
      <c r="AD86" s="24" t="str">
        <f t="shared" si="26"/>
        <v/>
      </c>
      <c r="AE86" s="24" t="str">
        <f t="shared" si="27"/>
        <v/>
      </c>
      <c r="AF86" s="25" t="str">
        <f t="shared" si="28"/>
        <v/>
      </c>
    </row>
    <row r="87" spans="1:32" x14ac:dyDescent="0.25">
      <c r="A87" s="22" t="s">
        <v>146</v>
      </c>
      <c r="B87" s="22" t="s">
        <v>147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18"/>
        <v>0</v>
      </c>
      <c r="K87" s="24">
        <f t="shared" si="19"/>
        <v>26000</v>
      </c>
      <c r="L87" s="24">
        <f t="shared" si="20"/>
        <v>4000</v>
      </c>
      <c r="M87" s="24">
        <f t="shared" si="21"/>
        <v>0</v>
      </c>
      <c r="N87" s="24">
        <f t="shared" si="22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3"/>
        <v>56930</v>
      </c>
      <c r="AA87" s="24">
        <v>0</v>
      </c>
      <c r="AB87" s="20">
        <f t="shared" si="24"/>
        <v>56930</v>
      </c>
      <c r="AC87" s="24" t="str">
        <f t="shared" si="25"/>
        <v/>
      </c>
      <c r="AD87" s="24" t="str">
        <f t="shared" si="26"/>
        <v/>
      </c>
      <c r="AE87" s="24" t="str">
        <f t="shared" si="27"/>
        <v/>
      </c>
      <c r="AF87" s="25" t="str">
        <f t="shared" si="28"/>
        <v/>
      </c>
    </row>
    <row r="88" spans="1:32" x14ac:dyDescent="0.25">
      <c r="A88" s="22" t="s">
        <v>102</v>
      </c>
      <c r="B88" s="22" t="s">
        <v>104</v>
      </c>
      <c r="C88" s="22" t="s">
        <v>44</v>
      </c>
      <c r="D88" s="23">
        <v>0.25</v>
      </c>
      <c r="E88" s="24">
        <v>0</v>
      </c>
      <c r="F88" s="24">
        <v>26000</v>
      </c>
      <c r="G88" s="24">
        <v>4000</v>
      </c>
      <c r="H88" s="24">
        <v>0</v>
      </c>
      <c r="I88" s="24">
        <v>0</v>
      </c>
      <c r="J88" s="24">
        <f t="shared" si="18"/>
        <v>0</v>
      </c>
      <c r="K88" s="24">
        <f t="shared" si="19"/>
        <v>19500</v>
      </c>
      <c r="L88" s="24">
        <f t="shared" si="20"/>
        <v>4000</v>
      </c>
      <c r="M88" s="24">
        <f t="shared" si="21"/>
        <v>0</v>
      </c>
      <c r="N88" s="24">
        <f t="shared" si="22"/>
        <v>0</v>
      </c>
      <c r="O88" s="24">
        <v>13380</v>
      </c>
      <c r="P88" s="24">
        <v>7550</v>
      </c>
      <c r="Q88" s="24">
        <v>0</v>
      </c>
      <c r="R88" s="24">
        <v>0</v>
      </c>
      <c r="S88" s="24">
        <v>0</v>
      </c>
      <c r="T88" s="24">
        <v>6000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3"/>
        <v>50430</v>
      </c>
      <c r="AA88" s="24">
        <v>0</v>
      </c>
      <c r="AB88" s="20">
        <f t="shared" si="24"/>
        <v>50430</v>
      </c>
      <c r="AC88" s="24" t="str">
        <f t="shared" si="25"/>
        <v/>
      </c>
      <c r="AD88" s="24" t="str">
        <f t="shared" si="26"/>
        <v/>
      </c>
      <c r="AE88" s="24" t="str">
        <f t="shared" si="27"/>
        <v/>
      </c>
      <c r="AF88" s="25" t="str">
        <f t="shared" si="28"/>
        <v/>
      </c>
    </row>
    <row r="89" spans="1:32" x14ac:dyDescent="0.25">
      <c r="A89" s="22" t="s">
        <v>102</v>
      </c>
      <c r="B89" s="22" t="s">
        <v>103</v>
      </c>
      <c r="C89" s="22" t="s">
        <v>33</v>
      </c>
      <c r="D89" s="23">
        <v>0.25</v>
      </c>
      <c r="E89" s="24">
        <v>0</v>
      </c>
      <c r="F89" s="24">
        <v>28000</v>
      </c>
      <c r="G89" s="24">
        <v>4000</v>
      </c>
      <c r="H89" s="24">
        <v>2500</v>
      </c>
      <c r="I89" s="24">
        <v>5000</v>
      </c>
      <c r="J89" s="24">
        <f t="shared" si="18"/>
        <v>0</v>
      </c>
      <c r="K89" s="24">
        <f t="shared" si="19"/>
        <v>21000</v>
      </c>
      <c r="L89" s="24">
        <f t="shared" si="20"/>
        <v>4000</v>
      </c>
      <c r="M89" s="24">
        <f t="shared" si="21"/>
        <v>1875</v>
      </c>
      <c r="N89" s="24">
        <f t="shared" si="22"/>
        <v>3750</v>
      </c>
      <c r="O89" s="24">
        <v>25970</v>
      </c>
      <c r="P89" s="24">
        <v>11330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3"/>
        <v>73925</v>
      </c>
      <c r="AA89" s="24">
        <v>0</v>
      </c>
      <c r="AB89" s="20">
        <f t="shared" si="24"/>
        <v>73925</v>
      </c>
      <c r="AC89" s="24" t="str">
        <f t="shared" si="25"/>
        <v/>
      </c>
      <c r="AD89" s="24" t="str">
        <f t="shared" si="26"/>
        <v/>
      </c>
      <c r="AE89" s="24" t="str">
        <f t="shared" si="27"/>
        <v/>
      </c>
      <c r="AF89" s="25" t="str">
        <f t="shared" si="28"/>
        <v/>
      </c>
    </row>
    <row r="90" spans="1:32" x14ac:dyDescent="0.25">
      <c r="A90" s="22" t="s">
        <v>102</v>
      </c>
      <c r="B90" s="22" t="s">
        <v>105</v>
      </c>
      <c r="C90" s="22" t="s">
        <v>46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 t="shared" si="18"/>
        <v>0</v>
      </c>
      <c r="K90" s="24">
        <f t="shared" si="19"/>
        <v>21000</v>
      </c>
      <c r="L90" s="24">
        <f t="shared" si="20"/>
        <v>4000</v>
      </c>
      <c r="M90" s="24">
        <f t="shared" si="21"/>
        <v>0</v>
      </c>
      <c r="N90" s="24">
        <f t="shared" si="22"/>
        <v>3750</v>
      </c>
      <c r="O90" s="24">
        <v>27310</v>
      </c>
      <c r="P90" s="24">
        <v>13230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3"/>
        <v>75290</v>
      </c>
      <c r="AA90" s="24">
        <v>0</v>
      </c>
      <c r="AB90" s="20">
        <f t="shared" si="24"/>
        <v>75290</v>
      </c>
      <c r="AC90" s="24" t="str">
        <f t="shared" si="25"/>
        <v/>
      </c>
      <c r="AD90" s="24" t="str">
        <f t="shared" si="26"/>
        <v/>
      </c>
      <c r="AE90" s="24" t="str">
        <f t="shared" si="27"/>
        <v/>
      </c>
      <c r="AF90" s="25" t="str">
        <f t="shared" si="28"/>
        <v/>
      </c>
    </row>
    <row r="91" spans="1:32" x14ac:dyDescent="0.25">
      <c r="A91" s="22" t="s">
        <v>106</v>
      </c>
      <c r="B91" s="22" t="s">
        <v>45</v>
      </c>
      <c r="C91" s="22" t="s">
        <v>33</v>
      </c>
      <c r="D91" s="23">
        <v>0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 t="shared" si="18"/>
        <v>0</v>
      </c>
      <c r="K91" s="24">
        <f t="shared" si="19"/>
        <v>28000</v>
      </c>
      <c r="L91" s="24">
        <f t="shared" si="20"/>
        <v>4000</v>
      </c>
      <c r="M91" s="24">
        <f t="shared" si="21"/>
        <v>2500</v>
      </c>
      <c r="N91" s="24">
        <f t="shared" si="22"/>
        <v>5000</v>
      </c>
      <c r="O91" s="24">
        <v>25970</v>
      </c>
      <c r="P91" s="24">
        <v>11330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3"/>
        <v>76800</v>
      </c>
      <c r="AA91" s="24">
        <v>0</v>
      </c>
      <c r="AB91" s="20">
        <f t="shared" si="24"/>
        <v>76800</v>
      </c>
      <c r="AC91" s="24" t="str">
        <f t="shared" si="25"/>
        <v/>
      </c>
      <c r="AD91" s="24" t="str">
        <f t="shared" si="26"/>
        <v/>
      </c>
      <c r="AE91" s="24" t="str">
        <f t="shared" si="27"/>
        <v/>
      </c>
      <c r="AF91" s="25" t="str">
        <f t="shared" si="28"/>
        <v/>
      </c>
    </row>
    <row r="92" spans="1:32" x14ac:dyDescent="0.25">
      <c r="A92" s="22" t="s">
        <v>107</v>
      </c>
      <c r="B92" s="22" t="s">
        <v>108</v>
      </c>
      <c r="C92" s="22" t="s">
        <v>59</v>
      </c>
      <c r="D92" s="23">
        <v>1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18"/>
        <v>0</v>
      </c>
      <c r="K92" s="24">
        <f t="shared" si="19"/>
        <v>0</v>
      </c>
      <c r="L92" s="24">
        <f t="shared" si="20"/>
        <v>4000</v>
      </c>
      <c r="M92" s="24">
        <f t="shared" si="21"/>
        <v>0</v>
      </c>
      <c r="N92" s="24">
        <f t="shared" si="22"/>
        <v>0</v>
      </c>
      <c r="O92" s="24">
        <v>27330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3"/>
        <v>50560</v>
      </c>
      <c r="AA92" s="24">
        <v>0</v>
      </c>
      <c r="AB92" s="20">
        <f t="shared" si="24"/>
        <v>50560</v>
      </c>
      <c r="AC92" s="24" t="str">
        <f t="shared" si="25"/>
        <v/>
      </c>
      <c r="AD92" s="24" t="str">
        <f t="shared" si="26"/>
        <v/>
      </c>
      <c r="AE92" s="24" t="str">
        <f t="shared" si="27"/>
        <v/>
      </c>
      <c r="AF92" s="25" t="str">
        <f t="shared" si="28"/>
        <v/>
      </c>
    </row>
    <row r="93" spans="1:32" x14ac:dyDescent="0.25">
      <c r="A93" s="22" t="s">
        <v>109</v>
      </c>
      <c r="B93" s="22" t="s">
        <v>164</v>
      </c>
      <c r="C93" s="22" t="s">
        <v>30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18"/>
        <v>0</v>
      </c>
      <c r="K93" s="24">
        <f t="shared" si="19"/>
        <v>19500</v>
      </c>
      <c r="L93" s="24">
        <f t="shared" si="20"/>
        <v>4000</v>
      </c>
      <c r="M93" s="24">
        <f t="shared" si="21"/>
        <v>750</v>
      </c>
      <c r="N93" s="24">
        <f t="shared" si="22"/>
        <v>0</v>
      </c>
      <c r="O93" s="24">
        <v>12480</v>
      </c>
      <c r="P93" s="24">
        <v>7550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65</v>
      </c>
      <c r="Z93" s="24">
        <f t="shared" si="23"/>
        <v>50345</v>
      </c>
      <c r="AA93" s="24">
        <v>0</v>
      </c>
      <c r="AB93" s="20">
        <f t="shared" si="24"/>
        <v>50345</v>
      </c>
      <c r="AC93" s="24" t="str">
        <f t="shared" si="25"/>
        <v/>
      </c>
      <c r="AD93" s="24" t="str">
        <f t="shared" si="26"/>
        <v/>
      </c>
      <c r="AE93" s="24" t="str">
        <f t="shared" si="27"/>
        <v/>
      </c>
      <c r="AF93" s="25" t="str">
        <f t="shared" si="28"/>
        <v/>
      </c>
    </row>
    <row r="94" spans="1:32" x14ac:dyDescent="0.25">
      <c r="A94" s="22" t="s">
        <v>109</v>
      </c>
      <c r="B94" s="22" t="s">
        <v>110</v>
      </c>
      <c r="C94" s="22" t="s">
        <v>33</v>
      </c>
      <c r="D94" s="23">
        <v>0.25</v>
      </c>
      <c r="E94" s="24">
        <v>0</v>
      </c>
      <c r="F94" s="24">
        <v>28000</v>
      </c>
      <c r="G94" s="24">
        <v>4000</v>
      </c>
      <c r="H94" s="24">
        <v>2500</v>
      </c>
      <c r="I94" s="24">
        <v>5000</v>
      </c>
      <c r="J94" s="24">
        <f t="shared" si="18"/>
        <v>0</v>
      </c>
      <c r="K94" s="24">
        <f t="shared" si="19"/>
        <v>21000</v>
      </c>
      <c r="L94" s="24">
        <f t="shared" si="20"/>
        <v>4000</v>
      </c>
      <c r="M94" s="24">
        <f t="shared" si="21"/>
        <v>1875</v>
      </c>
      <c r="N94" s="24">
        <f t="shared" si="22"/>
        <v>3750</v>
      </c>
      <c r="O94" s="24">
        <v>25970</v>
      </c>
      <c r="P94" s="24">
        <v>11330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3"/>
        <v>73925</v>
      </c>
      <c r="AA94" s="24">
        <v>0</v>
      </c>
      <c r="AB94" s="20">
        <f t="shared" si="24"/>
        <v>73925</v>
      </c>
      <c r="AC94" s="24" t="str">
        <f t="shared" si="25"/>
        <v/>
      </c>
      <c r="AD94" s="24" t="str">
        <f t="shared" si="26"/>
        <v/>
      </c>
      <c r="AE94" s="24" t="str">
        <f t="shared" si="27"/>
        <v/>
      </c>
      <c r="AF94" s="25" t="str">
        <f t="shared" si="28"/>
        <v/>
      </c>
    </row>
    <row r="95" spans="1:32" x14ac:dyDescent="0.25">
      <c r="A95" s="22" t="s">
        <v>111</v>
      </c>
      <c r="B95" s="22" t="s">
        <v>112</v>
      </c>
      <c r="C95" s="22" t="s">
        <v>67</v>
      </c>
      <c r="D95" s="23">
        <v>0.3</v>
      </c>
      <c r="E95" s="24">
        <v>0</v>
      </c>
      <c r="F95" s="24">
        <v>33000</v>
      </c>
      <c r="G95" s="24">
        <v>5000</v>
      </c>
      <c r="H95" s="24">
        <v>2000</v>
      </c>
      <c r="I95" s="24">
        <v>6000</v>
      </c>
      <c r="J95" s="24">
        <f t="shared" si="18"/>
        <v>0</v>
      </c>
      <c r="K95" s="24">
        <f t="shared" si="19"/>
        <v>23100</v>
      </c>
      <c r="L95" s="24">
        <f t="shared" si="20"/>
        <v>5000</v>
      </c>
      <c r="M95" s="24">
        <f t="shared" si="21"/>
        <v>1400</v>
      </c>
      <c r="N95" s="24">
        <f t="shared" si="22"/>
        <v>4200</v>
      </c>
      <c r="O95" s="24">
        <v>22400</v>
      </c>
      <c r="P95" s="24">
        <v>14330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3"/>
        <v>70430</v>
      </c>
      <c r="AA95" s="24">
        <v>0</v>
      </c>
      <c r="AB95" s="20">
        <f t="shared" si="24"/>
        <v>70430</v>
      </c>
      <c r="AC95" s="24" t="str">
        <f t="shared" si="25"/>
        <v/>
      </c>
      <c r="AD95" s="24" t="str">
        <f t="shared" si="26"/>
        <v/>
      </c>
      <c r="AE95" s="24" t="str">
        <f t="shared" si="27"/>
        <v/>
      </c>
      <c r="AF95" s="25" t="str">
        <f t="shared" si="28"/>
        <v/>
      </c>
    </row>
    <row r="96" spans="1:32" x14ac:dyDescent="0.25">
      <c r="A96" s="22" t="s">
        <v>211</v>
      </c>
      <c r="B96" s="22" t="s">
        <v>212</v>
      </c>
      <c r="C96" s="22" t="s">
        <v>49</v>
      </c>
      <c r="D96" s="23">
        <v>0</v>
      </c>
      <c r="E96" s="24">
        <v>0</v>
      </c>
      <c r="F96" s="24">
        <v>26000</v>
      </c>
      <c r="G96" s="24">
        <v>4000</v>
      </c>
      <c r="H96" s="24">
        <v>1000</v>
      </c>
      <c r="I96" s="24">
        <v>0</v>
      </c>
      <c r="J96" s="24">
        <f t="shared" si="18"/>
        <v>0</v>
      </c>
      <c r="K96" s="24">
        <f t="shared" si="19"/>
        <v>26000</v>
      </c>
      <c r="L96" s="24">
        <f t="shared" si="20"/>
        <v>4000</v>
      </c>
      <c r="M96" s="24">
        <f t="shared" si="21"/>
        <v>1000</v>
      </c>
      <c r="N96" s="24">
        <f t="shared" si="22"/>
        <v>0</v>
      </c>
      <c r="O96" s="24">
        <v>6840</v>
      </c>
      <c r="P96" s="24">
        <v>5300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-10000</v>
      </c>
      <c r="Z96" s="24">
        <f t="shared" si="23"/>
        <v>33140</v>
      </c>
      <c r="AA96" s="24">
        <v>0</v>
      </c>
      <c r="AB96" s="20">
        <f t="shared" si="24"/>
        <v>33140</v>
      </c>
      <c r="AC96" s="24" t="str">
        <f t="shared" si="25"/>
        <v/>
      </c>
      <c r="AD96" s="24" t="str">
        <f t="shared" si="26"/>
        <v/>
      </c>
      <c r="AE96" s="24" t="str">
        <f t="shared" si="27"/>
        <v/>
      </c>
      <c r="AF96" s="25" t="str">
        <f t="shared" si="28"/>
        <v/>
      </c>
    </row>
    <row r="97" spans="1:32" x14ac:dyDescent="0.25">
      <c r="A97" s="22" t="s">
        <v>113</v>
      </c>
      <c r="B97" s="22" t="s">
        <v>115</v>
      </c>
      <c r="C97" s="22" t="s">
        <v>44</v>
      </c>
      <c r="D97" s="23">
        <v>0.5</v>
      </c>
      <c r="E97" s="24">
        <v>0</v>
      </c>
      <c r="F97" s="24">
        <v>26000</v>
      </c>
      <c r="G97" s="24">
        <v>4000</v>
      </c>
      <c r="H97" s="24">
        <v>0</v>
      </c>
      <c r="I97" s="24">
        <v>0</v>
      </c>
      <c r="J97" s="24">
        <f t="shared" si="18"/>
        <v>0</v>
      </c>
      <c r="K97" s="24">
        <f t="shared" si="19"/>
        <v>13000</v>
      </c>
      <c r="L97" s="24">
        <f t="shared" si="20"/>
        <v>4000</v>
      </c>
      <c r="M97" s="24">
        <f t="shared" si="21"/>
        <v>0</v>
      </c>
      <c r="N97" s="24">
        <f t="shared" si="22"/>
        <v>0</v>
      </c>
      <c r="O97" s="24">
        <v>13380</v>
      </c>
      <c r="P97" s="24">
        <v>7550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8000</v>
      </c>
      <c r="Z97" s="24">
        <f t="shared" si="23"/>
        <v>45930</v>
      </c>
      <c r="AA97" s="24">
        <v>0</v>
      </c>
      <c r="AB97" s="20">
        <f t="shared" si="24"/>
        <v>45930</v>
      </c>
      <c r="AC97" s="24" t="str">
        <f t="shared" si="25"/>
        <v/>
      </c>
      <c r="AD97" s="24" t="str">
        <f t="shared" si="26"/>
        <v/>
      </c>
      <c r="AE97" s="24" t="str">
        <f t="shared" si="27"/>
        <v/>
      </c>
      <c r="AF97" s="25" t="str">
        <f t="shared" si="28"/>
        <v/>
      </c>
    </row>
    <row r="98" spans="1:32" x14ac:dyDescent="0.25">
      <c r="A98" s="22" t="s">
        <v>113</v>
      </c>
      <c r="B98" s="22" t="s">
        <v>114</v>
      </c>
      <c r="C98" s="22" t="s">
        <v>48</v>
      </c>
      <c r="D98" s="23">
        <v>0.5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 t="shared" ref="J98:J120" si="29">(1-$D98)*E98</f>
        <v>0</v>
      </c>
      <c r="K98" s="24">
        <f t="shared" ref="K98:K120" si="30">(1-$D98)*F98</f>
        <v>14000</v>
      </c>
      <c r="L98" s="24">
        <f t="shared" ref="L98:L120" si="31">G98</f>
        <v>4000</v>
      </c>
      <c r="M98" s="24">
        <f t="shared" ref="M98:M120" si="32">(1-$D98)*H98</f>
        <v>0</v>
      </c>
      <c r="N98" s="24">
        <f t="shared" ref="N98:N120" si="33">(1-$D98)*I98</f>
        <v>2500</v>
      </c>
      <c r="O98" s="24">
        <v>26150</v>
      </c>
      <c r="P98" s="24">
        <v>11330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0" si="34">SUM(J98:Y98)</f>
        <v>57980</v>
      </c>
      <c r="AA98" s="24">
        <v>0</v>
      </c>
      <c r="AB98" s="20">
        <f t="shared" ref="AB98:AB120" si="35">Z98-AA98</f>
        <v>57980</v>
      </c>
      <c r="AC98" s="24" t="str">
        <f t="shared" si="25"/>
        <v/>
      </c>
      <c r="AD98" s="24" t="str">
        <f t="shared" si="26"/>
        <v/>
      </c>
      <c r="AE98" s="24" t="str">
        <f t="shared" si="27"/>
        <v/>
      </c>
      <c r="AF98" s="25" t="str">
        <f t="shared" si="28"/>
        <v/>
      </c>
    </row>
    <row r="99" spans="1:32" x14ac:dyDescent="0.25">
      <c r="A99" s="22" t="s">
        <v>116</v>
      </c>
      <c r="B99" s="22" t="s">
        <v>117</v>
      </c>
      <c r="C99" s="22" t="s">
        <v>67</v>
      </c>
      <c r="D99" s="23">
        <v>0.5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 t="shared" si="29"/>
        <v>0</v>
      </c>
      <c r="K99" s="24">
        <f t="shared" si="30"/>
        <v>16500</v>
      </c>
      <c r="L99" s="24">
        <f t="shared" si="31"/>
        <v>5000</v>
      </c>
      <c r="M99" s="24">
        <f t="shared" si="32"/>
        <v>1000</v>
      </c>
      <c r="N99" s="24">
        <f t="shared" si="33"/>
        <v>3000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8000</v>
      </c>
      <c r="U99" s="24">
        <v>0</v>
      </c>
      <c r="V99" s="24">
        <v>0</v>
      </c>
      <c r="W99" s="24">
        <v>0</v>
      </c>
      <c r="X99" s="24">
        <v>0</v>
      </c>
      <c r="Y99" s="24">
        <v>-3145</v>
      </c>
      <c r="Z99" s="24">
        <f t="shared" si="34"/>
        <v>67085</v>
      </c>
      <c r="AA99" s="24">
        <v>0</v>
      </c>
      <c r="AB99" s="20">
        <f t="shared" si="35"/>
        <v>67085</v>
      </c>
      <c r="AC99" s="24" t="str">
        <f t="shared" si="25"/>
        <v/>
      </c>
      <c r="AD99" s="24" t="str">
        <f t="shared" si="26"/>
        <v/>
      </c>
      <c r="AE99" s="24" t="str">
        <f t="shared" si="27"/>
        <v/>
      </c>
      <c r="AF99" s="25" t="str">
        <f t="shared" si="28"/>
        <v/>
      </c>
    </row>
    <row r="100" spans="1:32" x14ac:dyDescent="0.25">
      <c r="A100" s="22" t="s">
        <v>118</v>
      </c>
      <c r="B100" s="22" t="s">
        <v>119</v>
      </c>
      <c r="C100" s="22" t="s">
        <v>44</v>
      </c>
      <c r="D100" s="23">
        <v>0.25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 t="shared" si="29"/>
        <v>0</v>
      </c>
      <c r="K100" s="24">
        <f t="shared" si="30"/>
        <v>19500</v>
      </c>
      <c r="L100" s="24">
        <f t="shared" si="31"/>
        <v>4000</v>
      </c>
      <c r="M100" s="24">
        <f t="shared" si="32"/>
        <v>0</v>
      </c>
      <c r="N100" s="24">
        <f t="shared" si="33"/>
        <v>0</v>
      </c>
      <c r="O100" s="24">
        <v>13380</v>
      </c>
      <c r="P100" s="24">
        <v>7550</v>
      </c>
      <c r="Q100" s="24">
        <v>8000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4"/>
        <v>52430</v>
      </c>
      <c r="AA100" s="24">
        <v>0</v>
      </c>
      <c r="AB100" s="20">
        <f t="shared" si="35"/>
        <v>52430</v>
      </c>
      <c r="AC100" s="24" t="str">
        <f t="shared" si="25"/>
        <v/>
      </c>
      <c r="AD100" s="24" t="str">
        <f t="shared" si="26"/>
        <v/>
      </c>
      <c r="AE100" s="24" t="str">
        <f t="shared" si="27"/>
        <v/>
      </c>
      <c r="AF100" s="25" t="str">
        <f t="shared" si="28"/>
        <v/>
      </c>
    </row>
    <row r="101" spans="1:32" x14ac:dyDescent="0.25">
      <c r="A101" s="22" t="s">
        <v>118</v>
      </c>
      <c r="B101" s="22" t="s">
        <v>120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 t="shared" si="29"/>
        <v>0</v>
      </c>
      <c r="K101" s="24">
        <f t="shared" si="30"/>
        <v>21000</v>
      </c>
      <c r="L101" s="24">
        <f t="shared" si="31"/>
        <v>4000</v>
      </c>
      <c r="M101" s="24">
        <f t="shared" si="32"/>
        <v>0</v>
      </c>
      <c r="N101" s="24">
        <f t="shared" si="33"/>
        <v>3750</v>
      </c>
      <c r="O101" s="24">
        <v>27310</v>
      </c>
      <c r="P101" s="24">
        <v>13230</v>
      </c>
      <c r="Q101" s="24">
        <v>8000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4"/>
        <v>77290</v>
      </c>
      <c r="AA101" s="24">
        <v>0</v>
      </c>
      <c r="AB101" s="20">
        <f t="shared" si="35"/>
        <v>77290</v>
      </c>
      <c r="AC101" s="24" t="str">
        <f t="shared" si="25"/>
        <v/>
      </c>
      <c r="AD101" s="24" t="str">
        <f t="shared" si="26"/>
        <v/>
      </c>
      <c r="AE101" s="24" t="str">
        <f t="shared" si="27"/>
        <v/>
      </c>
      <c r="AF101" s="25" t="str">
        <f t="shared" si="28"/>
        <v/>
      </c>
    </row>
    <row r="102" spans="1:32" x14ac:dyDescent="0.25">
      <c r="A102" s="22" t="s">
        <v>198</v>
      </c>
      <c r="B102" s="22" t="s">
        <v>31</v>
      </c>
      <c r="C102" s="22" t="s">
        <v>47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29"/>
        <v>0</v>
      </c>
      <c r="K102" s="24">
        <f t="shared" si="30"/>
        <v>19500</v>
      </c>
      <c r="L102" s="24">
        <f t="shared" si="31"/>
        <v>4000</v>
      </c>
      <c r="M102" s="24">
        <f t="shared" si="32"/>
        <v>0</v>
      </c>
      <c r="N102" s="24">
        <f t="shared" si="33"/>
        <v>0</v>
      </c>
      <c r="O102" s="24">
        <v>24930</v>
      </c>
      <c r="P102" s="24">
        <v>10730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4"/>
        <v>65160</v>
      </c>
      <c r="AA102" s="24">
        <v>0</v>
      </c>
      <c r="AB102" s="20">
        <f t="shared" si="35"/>
        <v>65160</v>
      </c>
      <c r="AC102" s="24" t="str">
        <f t="shared" si="25"/>
        <v/>
      </c>
      <c r="AD102" s="24" t="str">
        <f t="shared" si="26"/>
        <v/>
      </c>
      <c r="AE102" s="24" t="str">
        <f t="shared" si="27"/>
        <v/>
      </c>
      <c r="AF102" s="25" t="str">
        <f t="shared" si="28"/>
        <v/>
      </c>
    </row>
    <row r="103" spans="1:32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29"/>
        <v>0</v>
      </c>
      <c r="K103" s="24">
        <f t="shared" si="30"/>
        <v>21000</v>
      </c>
      <c r="L103" s="24">
        <f t="shared" si="31"/>
        <v>4000</v>
      </c>
      <c r="M103" s="24">
        <f t="shared" si="32"/>
        <v>0</v>
      </c>
      <c r="N103" s="24">
        <f t="shared" si="33"/>
        <v>3750</v>
      </c>
      <c r="O103" s="24">
        <v>27310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4"/>
        <v>75290</v>
      </c>
      <c r="AA103" s="24">
        <v>0</v>
      </c>
      <c r="AB103" s="20">
        <f t="shared" si="35"/>
        <v>75290</v>
      </c>
      <c r="AC103" s="24" t="str">
        <f t="shared" si="25"/>
        <v/>
      </c>
      <c r="AD103" s="24" t="str">
        <f t="shared" si="26"/>
        <v/>
      </c>
      <c r="AE103" s="24" t="str">
        <f t="shared" si="27"/>
        <v/>
      </c>
      <c r="AF103" s="25" t="str">
        <f t="shared" si="28"/>
        <v/>
      </c>
    </row>
    <row r="104" spans="1:32" x14ac:dyDescent="0.25">
      <c r="A104" s="22" t="s">
        <v>121</v>
      </c>
      <c r="B104" s="22" t="s">
        <v>242</v>
      </c>
      <c r="C104" s="22" t="s">
        <v>252</v>
      </c>
      <c r="D104" s="23">
        <v>0.25</v>
      </c>
      <c r="E104" s="24">
        <v>0</v>
      </c>
      <c r="F104" s="24">
        <v>26000</v>
      </c>
      <c r="G104" s="24">
        <v>2000</v>
      </c>
      <c r="H104" s="24">
        <v>0</v>
      </c>
      <c r="I104" s="24">
        <v>0</v>
      </c>
      <c r="J104" s="24">
        <f t="shared" si="29"/>
        <v>0</v>
      </c>
      <c r="K104" s="24">
        <f t="shared" si="30"/>
        <v>19500</v>
      </c>
      <c r="L104" s="24">
        <f t="shared" si="31"/>
        <v>2000</v>
      </c>
      <c r="M104" s="24">
        <f t="shared" si="32"/>
        <v>0</v>
      </c>
      <c r="N104" s="24">
        <f t="shared" si="33"/>
        <v>0</v>
      </c>
      <c r="O104" s="24">
        <v>0</v>
      </c>
      <c r="P104" s="24">
        <v>3050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4"/>
        <v>24550</v>
      </c>
      <c r="AA104" s="24">
        <v>0</v>
      </c>
      <c r="AB104" s="20">
        <f t="shared" si="35"/>
        <v>24550</v>
      </c>
      <c r="AC104" s="24" t="str">
        <f t="shared" si="25"/>
        <v/>
      </c>
      <c r="AD104" s="24" t="str">
        <f t="shared" si="26"/>
        <v/>
      </c>
      <c r="AE104" s="24" t="str">
        <f t="shared" si="27"/>
        <v/>
      </c>
      <c r="AF104" s="25" t="str">
        <f t="shared" si="28"/>
        <v/>
      </c>
    </row>
    <row r="105" spans="1:32" x14ac:dyDescent="0.25">
      <c r="A105" s="22" t="s">
        <v>121</v>
      </c>
      <c r="B105" s="22" t="s">
        <v>122</v>
      </c>
      <c r="C105" s="22" t="s">
        <v>47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 t="shared" si="29"/>
        <v>0</v>
      </c>
      <c r="K105" s="24">
        <f t="shared" si="30"/>
        <v>19500</v>
      </c>
      <c r="L105" s="24">
        <f t="shared" si="31"/>
        <v>4000</v>
      </c>
      <c r="M105" s="24">
        <f t="shared" si="32"/>
        <v>0</v>
      </c>
      <c r="N105" s="24">
        <f t="shared" si="33"/>
        <v>0</v>
      </c>
      <c r="O105" s="24">
        <v>24930</v>
      </c>
      <c r="P105" s="24">
        <v>10730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4"/>
        <v>65160</v>
      </c>
      <c r="AA105" s="24">
        <v>0</v>
      </c>
      <c r="AB105" s="20">
        <f t="shared" si="35"/>
        <v>65160</v>
      </c>
      <c r="AC105" s="24" t="str">
        <f t="shared" si="25"/>
        <v/>
      </c>
      <c r="AD105" s="24" t="str">
        <f t="shared" si="26"/>
        <v/>
      </c>
      <c r="AE105" s="24" t="str">
        <f t="shared" si="27"/>
        <v/>
      </c>
      <c r="AF105" s="25" t="str">
        <f t="shared" si="28"/>
        <v/>
      </c>
    </row>
    <row r="106" spans="1:32" x14ac:dyDescent="0.25">
      <c r="A106" s="22" t="s">
        <v>123</v>
      </c>
      <c r="B106" s="22" t="s">
        <v>124</v>
      </c>
      <c r="C106" s="22" t="s">
        <v>47</v>
      </c>
      <c r="D106" s="23">
        <v>0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 t="shared" si="29"/>
        <v>0</v>
      </c>
      <c r="K106" s="24">
        <f t="shared" si="30"/>
        <v>26000</v>
      </c>
      <c r="L106" s="24">
        <f t="shared" si="31"/>
        <v>4000</v>
      </c>
      <c r="M106" s="24">
        <f t="shared" si="32"/>
        <v>0</v>
      </c>
      <c r="N106" s="24">
        <f t="shared" si="33"/>
        <v>0</v>
      </c>
      <c r="O106" s="24">
        <v>24930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14240</v>
      </c>
      <c r="Z106" s="24">
        <f t="shared" si="34"/>
        <v>85900</v>
      </c>
      <c r="AA106" s="24">
        <v>50000</v>
      </c>
      <c r="AB106" s="20">
        <f t="shared" si="35"/>
        <v>35900</v>
      </c>
      <c r="AC106" s="24" t="str">
        <f t="shared" si="25"/>
        <v/>
      </c>
      <c r="AD106" s="24" t="str">
        <f t="shared" si="26"/>
        <v/>
      </c>
      <c r="AE106" s="24" t="str">
        <f t="shared" si="27"/>
        <v/>
      </c>
      <c r="AF106" s="25" t="str">
        <f t="shared" si="28"/>
        <v/>
      </c>
    </row>
    <row r="107" spans="1:32" x14ac:dyDescent="0.25">
      <c r="A107" s="22" t="s">
        <v>125</v>
      </c>
      <c r="B107" s="22" t="s">
        <v>128</v>
      </c>
      <c r="C107" s="22" t="s">
        <v>44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 t="shared" si="29"/>
        <v>0</v>
      </c>
      <c r="K107" s="24">
        <f t="shared" si="30"/>
        <v>19500</v>
      </c>
      <c r="L107" s="24">
        <f t="shared" si="31"/>
        <v>4000</v>
      </c>
      <c r="M107" s="24">
        <f t="shared" si="32"/>
        <v>0</v>
      </c>
      <c r="N107" s="24">
        <f t="shared" si="33"/>
        <v>0</v>
      </c>
      <c r="O107" s="24">
        <v>13380</v>
      </c>
      <c r="P107" s="24">
        <v>7550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4"/>
        <v>44430</v>
      </c>
      <c r="AA107" s="24">
        <v>0</v>
      </c>
      <c r="AB107" s="20">
        <f t="shared" si="35"/>
        <v>44430</v>
      </c>
      <c r="AC107" s="24" t="str">
        <f t="shared" si="25"/>
        <v/>
      </c>
      <c r="AD107" s="24" t="str">
        <f t="shared" si="26"/>
        <v/>
      </c>
      <c r="AE107" s="24" t="str">
        <f t="shared" si="27"/>
        <v/>
      </c>
      <c r="AF107" s="25" t="str">
        <f t="shared" si="28"/>
        <v/>
      </c>
    </row>
    <row r="108" spans="1:32" x14ac:dyDescent="0.25">
      <c r="A108" s="22" t="s">
        <v>125</v>
      </c>
      <c r="B108" s="22" t="s">
        <v>127</v>
      </c>
      <c r="C108" s="22" t="s">
        <v>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 t="shared" si="29"/>
        <v>0</v>
      </c>
      <c r="K108" s="24">
        <f t="shared" si="30"/>
        <v>21000</v>
      </c>
      <c r="L108" s="24">
        <f t="shared" si="31"/>
        <v>4000</v>
      </c>
      <c r="M108" s="24">
        <f t="shared" si="32"/>
        <v>0</v>
      </c>
      <c r="N108" s="24">
        <f t="shared" si="33"/>
        <v>3750</v>
      </c>
      <c r="O108" s="24">
        <v>26150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4"/>
        <v>66230</v>
      </c>
      <c r="AA108" s="24">
        <v>0</v>
      </c>
      <c r="AB108" s="20">
        <f t="shared" si="35"/>
        <v>66230</v>
      </c>
      <c r="AC108" s="24" t="str">
        <f t="shared" si="25"/>
        <v/>
      </c>
      <c r="AD108" s="24" t="str">
        <f t="shared" si="26"/>
        <v/>
      </c>
      <c r="AE108" s="24" t="str">
        <f t="shared" si="27"/>
        <v/>
      </c>
      <c r="AF108" s="25" t="str">
        <f t="shared" si="28"/>
        <v/>
      </c>
    </row>
    <row r="109" spans="1:32" x14ac:dyDescent="0.25">
      <c r="A109" s="22" t="s">
        <v>125</v>
      </c>
      <c r="B109" s="22" t="s">
        <v>129</v>
      </c>
      <c r="C109" s="22" t="s">
        <v>248</v>
      </c>
      <c r="D109" s="23">
        <v>0.25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29"/>
        <v>0</v>
      </c>
      <c r="K109" s="24">
        <f t="shared" si="30"/>
        <v>21000</v>
      </c>
      <c r="L109" s="24">
        <f t="shared" si="31"/>
        <v>4000</v>
      </c>
      <c r="M109" s="24">
        <f t="shared" si="32"/>
        <v>0</v>
      </c>
      <c r="N109" s="24">
        <f t="shared" si="33"/>
        <v>3750</v>
      </c>
      <c r="O109" s="24">
        <v>28790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4"/>
        <v>76770</v>
      </c>
      <c r="AA109" s="24">
        <v>0</v>
      </c>
      <c r="AB109" s="20">
        <f t="shared" si="35"/>
        <v>76770</v>
      </c>
      <c r="AC109" s="24" t="str">
        <f t="shared" si="25"/>
        <v/>
      </c>
      <c r="AD109" s="24" t="str">
        <f t="shared" si="26"/>
        <v/>
      </c>
      <c r="AE109" s="24" t="str">
        <f t="shared" si="27"/>
        <v/>
      </c>
      <c r="AF109" s="25" t="str">
        <f t="shared" si="28"/>
        <v/>
      </c>
    </row>
    <row r="110" spans="1:32" x14ac:dyDescent="0.25">
      <c r="A110" s="22" t="s">
        <v>125</v>
      </c>
      <c r="B110" s="22" t="s">
        <v>126</v>
      </c>
      <c r="C110" s="22" t="s">
        <v>70</v>
      </c>
      <c r="D110" s="23">
        <v>0.25</v>
      </c>
      <c r="E110" s="24">
        <v>0</v>
      </c>
      <c r="F110" s="24">
        <v>40000</v>
      </c>
      <c r="G110" s="24">
        <v>5000</v>
      </c>
      <c r="H110" s="24">
        <v>2000</v>
      </c>
      <c r="I110" s="24">
        <v>8000</v>
      </c>
      <c r="J110" s="24">
        <f t="shared" si="29"/>
        <v>0</v>
      </c>
      <c r="K110" s="24">
        <f t="shared" si="30"/>
        <v>30000</v>
      </c>
      <c r="L110" s="24">
        <f t="shared" si="31"/>
        <v>5000</v>
      </c>
      <c r="M110" s="24">
        <f t="shared" si="32"/>
        <v>1500</v>
      </c>
      <c r="N110" s="24">
        <f t="shared" si="33"/>
        <v>6000</v>
      </c>
      <c r="O110" s="24">
        <v>11880</v>
      </c>
      <c r="P110" s="24">
        <v>14330</v>
      </c>
      <c r="Q110" s="24">
        <v>0</v>
      </c>
      <c r="R110" s="24">
        <v>0</v>
      </c>
      <c r="S110" s="24">
        <v>0</v>
      </c>
      <c r="T110" s="24">
        <v>8000</v>
      </c>
      <c r="U110" s="24">
        <v>0</v>
      </c>
      <c r="V110" s="24">
        <v>0</v>
      </c>
      <c r="W110" s="24">
        <v>0</v>
      </c>
      <c r="X110" s="24">
        <v>0</v>
      </c>
      <c r="Y110" s="24">
        <v>2660</v>
      </c>
      <c r="Z110" s="24">
        <f t="shared" si="34"/>
        <v>79370</v>
      </c>
      <c r="AA110" s="24">
        <v>0</v>
      </c>
      <c r="AB110" s="20">
        <f t="shared" si="35"/>
        <v>79370</v>
      </c>
      <c r="AC110" s="24" t="str">
        <f t="shared" si="25"/>
        <v/>
      </c>
      <c r="AD110" s="24" t="str">
        <f t="shared" si="26"/>
        <v/>
      </c>
      <c r="AE110" s="24" t="str">
        <f t="shared" si="27"/>
        <v/>
      </c>
      <c r="AF110" s="25" t="str">
        <f t="shared" si="28"/>
        <v/>
      </c>
    </row>
    <row r="111" spans="1:32" x14ac:dyDescent="0.25">
      <c r="A111" s="22" t="s">
        <v>184</v>
      </c>
      <c r="B111" s="22" t="s">
        <v>189</v>
      </c>
      <c r="C111" s="22" t="s">
        <v>30</v>
      </c>
      <c r="D111" s="23">
        <v>0.25</v>
      </c>
      <c r="E111" s="24">
        <v>0</v>
      </c>
      <c r="F111" s="24">
        <v>26000</v>
      </c>
      <c r="G111" s="24">
        <v>4000</v>
      </c>
      <c r="H111" s="24">
        <v>1000</v>
      </c>
      <c r="I111" s="24">
        <v>0</v>
      </c>
      <c r="J111" s="24">
        <f t="shared" si="29"/>
        <v>0</v>
      </c>
      <c r="K111" s="24">
        <f t="shared" si="30"/>
        <v>19500</v>
      </c>
      <c r="L111" s="24">
        <f t="shared" si="31"/>
        <v>4000</v>
      </c>
      <c r="M111" s="24">
        <f t="shared" si="32"/>
        <v>750</v>
      </c>
      <c r="N111" s="24">
        <f t="shared" si="33"/>
        <v>0</v>
      </c>
      <c r="O111" s="24">
        <v>12480</v>
      </c>
      <c r="P111" s="24">
        <v>7550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1250</v>
      </c>
      <c r="Z111" s="24">
        <f t="shared" si="34"/>
        <v>51530</v>
      </c>
      <c r="AA111" s="24">
        <v>0</v>
      </c>
      <c r="AB111" s="20">
        <f t="shared" si="35"/>
        <v>51530</v>
      </c>
      <c r="AC111" s="24" t="str">
        <f t="shared" si="25"/>
        <v/>
      </c>
      <c r="AD111" s="24" t="str">
        <f t="shared" si="26"/>
        <v/>
      </c>
      <c r="AE111" s="24" t="str">
        <f t="shared" si="27"/>
        <v/>
      </c>
      <c r="AF111" s="25" t="str">
        <f t="shared" si="28"/>
        <v/>
      </c>
    </row>
    <row r="112" spans="1:32" x14ac:dyDescent="0.25">
      <c r="A112" s="22" t="s">
        <v>184</v>
      </c>
      <c r="B112" s="22" t="s">
        <v>185</v>
      </c>
      <c r="C112" s="22" t="s">
        <v>33</v>
      </c>
      <c r="D112" s="23">
        <v>0.25</v>
      </c>
      <c r="E112" s="24">
        <v>0</v>
      </c>
      <c r="F112" s="24">
        <v>28000</v>
      </c>
      <c r="G112" s="24">
        <v>4000</v>
      </c>
      <c r="H112" s="24">
        <v>2500</v>
      </c>
      <c r="I112" s="24">
        <v>5000</v>
      </c>
      <c r="J112" s="24">
        <f t="shared" si="29"/>
        <v>0</v>
      </c>
      <c r="K112" s="24">
        <f t="shared" si="30"/>
        <v>21000</v>
      </c>
      <c r="L112" s="24">
        <f t="shared" si="31"/>
        <v>4000</v>
      </c>
      <c r="M112" s="24">
        <f t="shared" si="32"/>
        <v>1875</v>
      </c>
      <c r="N112" s="24">
        <f t="shared" si="33"/>
        <v>3750</v>
      </c>
      <c r="O112" s="24">
        <v>25970</v>
      </c>
      <c r="P112" s="24">
        <v>11330</v>
      </c>
      <c r="Q112" s="24">
        <v>0</v>
      </c>
      <c r="R112" s="24">
        <v>0</v>
      </c>
      <c r="S112" s="24">
        <v>0</v>
      </c>
      <c r="T112" s="24">
        <v>6000</v>
      </c>
      <c r="U112" s="24">
        <v>0</v>
      </c>
      <c r="V112" s="24">
        <v>0</v>
      </c>
      <c r="W112" s="24">
        <v>0</v>
      </c>
      <c r="X112" s="24">
        <v>0</v>
      </c>
      <c r="Y112" s="24">
        <v>9500</v>
      </c>
      <c r="Z112" s="24">
        <f t="shared" si="34"/>
        <v>83425</v>
      </c>
      <c r="AA112" s="24">
        <v>0</v>
      </c>
      <c r="AB112" s="20">
        <f t="shared" si="35"/>
        <v>83425</v>
      </c>
      <c r="AC112" s="24" t="str">
        <f t="shared" si="25"/>
        <v/>
      </c>
      <c r="AD112" s="24" t="str">
        <f t="shared" si="26"/>
        <v/>
      </c>
      <c r="AE112" s="24" t="str">
        <f t="shared" si="27"/>
        <v/>
      </c>
      <c r="AF112" s="25" t="str">
        <f t="shared" si="28"/>
        <v/>
      </c>
    </row>
    <row r="113" spans="1:32" x14ac:dyDescent="0.25">
      <c r="A113" s="22" t="s">
        <v>184</v>
      </c>
      <c r="B113" s="22" t="s">
        <v>186</v>
      </c>
      <c r="C113" s="22" t="s">
        <v>59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29"/>
        <v>0</v>
      </c>
      <c r="K113" s="24">
        <f t="shared" si="30"/>
        <v>21000</v>
      </c>
      <c r="L113" s="24">
        <f t="shared" si="31"/>
        <v>4000</v>
      </c>
      <c r="M113" s="24">
        <f t="shared" si="32"/>
        <v>0</v>
      </c>
      <c r="N113" s="24">
        <f t="shared" si="33"/>
        <v>3750</v>
      </c>
      <c r="O113" s="24">
        <v>27330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4"/>
        <v>75310</v>
      </c>
      <c r="AA113" s="24">
        <v>0</v>
      </c>
      <c r="AB113" s="20">
        <f t="shared" si="35"/>
        <v>75310</v>
      </c>
      <c r="AC113" s="24" t="str">
        <f t="shared" si="25"/>
        <v/>
      </c>
      <c r="AD113" s="24" t="str">
        <f t="shared" si="26"/>
        <v/>
      </c>
      <c r="AE113" s="24" t="str">
        <f t="shared" si="27"/>
        <v/>
      </c>
      <c r="AF113" s="25" t="str">
        <f t="shared" si="28"/>
        <v/>
      </c>
    </row>
    <row r="114" spans="1:32" x14ac:dyDescent="0.25">
      <c r="A114" s="22" t="s">
        <v>220</v>
      </c>
      <c r="B114" s="22" t="s">
        <v>221</v>
      </c>
      <c r="C114" s="22" t="s">
        <v>49</v>
      </c>
      <c r="D114" s="23">
        <v>0</v>
      </c>
      <c r="E114" s="24">
        <v>0</v>
      </c>
      <c r="F114" s="24">
        <v>26000</v>
      </c>
      <c r="G114" s="24">
        <v>4000</v>
      </c>
      <c r="H114" s="24">
        <v>1000</v>
      </c>
      <c r="I114" s="24">
        <v>0</v>
      </c>
      <c r="J114" s="24">
        <f t="shared" si="29"/>
        <v>0</v>
      </c>
      <c r="K114" s="24">
        <f t="shared" si="30"/>
        <v>26000</v>
      </c>
      <c r="L114" s="24">
        <f t="shared" si="31"/>
        <v>4000</v>
      </c>
      <c r="M114" s="24">
        <f t="shared" si="32"/>
        <v>1000</v>
      </c>
      <c r="N114" s="24">
        <f t="shared" si="33"/>
        <v>0</v>
      </c>
      <c r="O114" s="24">
        <v>6840</v>
      </c>
      <c r="P114" s="24">
        <v>5300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1000</v>
      </c>
      <c r="Z114" s="24">
        <f t="shared" si="34"/>
        <v>44140</v>
      </c>
      <c r="AA114" s="24">
        <v>0</v>
      </c>
      <c r="AB114" s="20">
        <f t="shared" si="35"/>
        <v>44140</v>
      </c>
      <c r="AC114" s="24" t="str">
        <f t="shared" si="25"/>
        <v/>
      </c>
      <c r="AD114" s="24" t="str">
        <f t="shared" si="26"/>
        <v/>
      </c>
      <c r="AE114" s="24" t="str">
        <f t="shared" si="27"/>
        <v/>
      </c>
      <c r="AF114" s="25" t="str">
        <f t="shared" si="28"/>
        <v/>
      </c>
    </row>
    <row r="115" spans="1:32" x14ac:dyDescent="0.25">
      <c r="A115" s="22" t="s">
        <v>130</v>
      </c>
      <c r="B115" s="22" t="s">
        <v>131</v>
      </c>
      <c r="C115" s="22" t="s">
        <v>67</v>
      </c>
      <c r="D115" s="23">
        <v>0.3</v>
      </c>
      <c r="E115" s="24">
        <v>0</v>
      </c>
      <c r="F115" s="24">
        <v>33000</v>
      </c>
      <c r="G115" s="24">
        <v>5000</v>
      </c>
      <c r="H115" s="24">
        <v>2000</v>
      </c>
      <c r="I115" s="24">
        <v>6000</v>
      </c>
      <c r="J115" s="24">
        <f t="shared" si="29"/>
        <v>0</v>
      </c>
      <c r="K115" s="24">
        <f t="shared" si="30"/>
        <v>23100</v>
      </c>
      <c r="L115" s="24">
        <f t="shared" si="31"/>
        <v>5000</v>
      </c>
      <c r="M115" s="24">
        <f t="shared" si="32"/>
        <v>1400</v>
      </c>
      <c r="N115" s="24">
        <f t="shared" si="33"/>
        <v>4200</v>
      </c>
      <c r="O115" s="24">
        <v>22400</v>
      </c>
      <c r="P115" s="24">
        <v>14330</v>
      </c>
      <c r="Q115" s="24">
        <v>0</v>
      </c>
      <c r="R115" s="24">
        <v>0</v>
      </c>
      <c r="S115" s="24">
        <v>0</v>
      </c>
      <c r="T115" s="24">
        <v>8000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4"/>
        <v>78430</v>
      </c>
      <c r="AA115" s="24">
        <v>0</v>
      </c>
      <c r="AB115" s="20">
        <f t="shared" si="35"/>
        <v>78430</v>
      </c>
      <c r="AC115" s="24" t="str">
        <f t="shared" si="25"/>
        <v/>
      </c>
      <c r="AD115" s="24" t="str">
        <f t="shared" si="26"/>
        <v/>
      </c>
      <c r="AE115" s="24" t="str">
        <f t="shared" si="27"/>
        <v/>
      </c>
      <c r="AF115" s="25" t="str">
        <f t="shared" si="28"/>
        <v/>
      </c>
    </row>
    <row r="116" spans="1:32" x14ac:dyDescent="0.25">
      <c r="A116" s="22" t="s">
        <v>130</v>
      </c>
      <c r="B116" s="22" t="s">
        <v>132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 t="shared" si="29"/>
        <v>0</v>
      </c>
      <c r="K116" s="24">
        <f t="shared" si="30"/>
        <v>30000</v>
      </c>
      <c r="L116" s="24">
        <f t="shared" si="31"/>
        <v>5000</v>
      </c>
      <c r="M116" s="24">
        <f t="shared" si="32"/>
        <v>1500</v>
      </c>
      <c r="N116" s="24">
        <f t="shared" si="33"/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4"/>
        <v>68710</v>
      </c>
      <c r="AA116" s="24">
        <v>0</v>
      </c>
      <c r="AB116" s="20">
        <f t="shared" si="35"/>
        <v>68710</v>
      </c>
      <c r="AC116" s="24" t="str">
        <f t="shared" si="25"/>
        <v/>
      </c>
      <c r="AD116" s="24" t="str">
        <f t="shared" si="26"/>
        <v/>
      </c>
      <c r="AE116" s="24" t="str">
        <f t="shared" si="27"/>
        <v/>
      </c>
      <c r="AF116" s="25" t="str">
        <f t="shared" si="28"/>
        <v/>
      </c>
    </row>
    <row r="117" spans="1:32" x14ac:dyDescent="0.25">
      <c r="A117" s="22" t="s">
        <v>133</v>
      </c>
      <c r="B117" s="22" t="s">
        <v>134</v>
      </c>
      <c r="C117" s="22" t="s">
        <v>48</v>
      </c>
      <c r="D117" s="23">
        <v>0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29"/>
        <v>0</v>
      </c>
      <c r="K117" s="24">
        <f t="shared" si="30"/>
        <v>28000</v>
      </c>
      <c r="L117" s="24">
        <f t="shared" si="31"/>
        <v>4000</v>
      </c>
      <c r="M117" s="24">
        <f t="shared" si="32"/>
        <v>0</v>
      </c>
      <c r="N117" s="24">
        <f t="shared" si="33"/>
        <v>5000</v>
      </c>
      <c r="O117" s="24">
        <v>26150</v>
      </c>
      <c r="P117" s="24">
        <v>11330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4020</v>
      </c>
      <c r="Z117" s="24">
        <f t="shared" si="34"/>
        <v>78500</v>
      </c>
      <c r="AA117" s="24">
        <v>0</v>
      </c>
      <c r="AB117" s="20">
        <f t="shared" si="35"/>
        <v>78500</v>
      </c>
      <c r="AC117" s="24" t="str">
        <f t="shared" si="25"/>
        <v/>
      </c>
      <c r="AD117" s="24" t="str">
        <f t="shared" si="26"/>
        <v/>
      </c>
      <c r="AE117" s="24" t="str">
        <f t="shared" si="27"/>
        <v/>
      </c>
      <c r="AF117" s="25" t="str">
        <f t="shared" si="28"/>
        <v/>
      </c>
    </row>
    <row r="118" spans="1:32" x14ac:dyDescent="0.25">
      <c r="A118" s="22" t="s">
        <v>135</v>
      </c>
      <c r="B118" s="22" t="s">
        <v>218</v>
      </c>
      <c r="C118" s="22" t="s">
        <v>49</v>
      </c>
      <c r="D118" s="23">
        <v>0.25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 t="shared" si="29"/>
        <v>0</v>
      </c>
      <c r="K118" s="24">
        <f t="shared" si="30"/>
        <v>19500</v>
      </c>
      <c r="L118" s="24">
        <f t="shared" si="31"/>
        <v>4000</v>
      </c>
      <c r="M118" s="24">
        <f t="shared" si="32"/>
        <v>750</v>
      </c>
      <c r="N118" s="24">
        <f t="shared" si="33"/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4"/>
        <v>36390</v>
      </c>
      <c r="AA118" s="24">
        <v>7070</v>
      </c>
      <c r="AB118" s="20">
        <f t="shared" si="35"/>
        <v>29320</v>
      </c>
      <c r="AC118" s="24" t="str">
        <f t="shared" si="25"/>
        <v/>
      </c>
      <c r="AD118" s="24" t="str">
        <f t="shared" si="26"/>
        <v/>
      </c>
      <c r="AE118" s="24" t="str">
        <f t="shared" si="27"/>
        <v/>
      </c>
      <c r="AF118" s="25" t="str">
        <f t="shared" si="28"/>
        <v/>
      </c>
    </row>
    <row r="119" spans="1:32" x14ac:dyDescent="0.25">
      <c r="A119" s="22" t="s">
        <v>135</v>
      </c>
      <c r="B119" s="22" t="s">
        <v>136</v>
      </c>
      <c r="C119" s="22" t="s">
        <v>30</v>
      </c>
      <c r="D119" s="23">
        <v>0.3</v>
      </c>
      <c r="E119" s="24">
        <v>0</v>
      </c>
      <c r="F119" s="24">
        <v>26000</v>
      </c>
      <c r="G119" s="24">
        <v>4000</v>
      </c>
      <c r="H119" s="24">
        <v>1000</v>
      </c>
      <c r="I119" s="24">
        <v>0</v>
      </c>
      <c r="J119" s="24">
        <f t="shared" si="29"/>
        <v>0</v>
      </c>
      <c r="K119" s="24">
        <f t="shared" si="30"/>
        <v>18200</v>
      </c>
      <c r="L119" s="24">
        <f t="shared" si="31"/>
        <v>4000</v>
      </c>
      <c r="M119" s="24">
        <f t="shared" si="32"/>
        <v>700</v>
      </c>
      <c r="N119" s="24">
        <f t="shared" si="33"/>
        <v>0</v>
      </c>
      <c r="O119" s="24">
        <v>12480</v>
      </c>
      <c r="P119" s="24">
        <v>7550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4"/>
        <v>42930</v>
      </c>
      <c r="AA119" s="24">
        <v>42930</v>
      </c>
      <c r="AB119" s="20">
        <f t="shared" si="35"/>
        <v>0</v>
      </c>
      <c r="AC119" s="24" t="str">
        <f t="shared" si="25"/>
        <v/>
      </c>
      <c r="AD119" s="24" t="str">
        <f t="shared" si="26"/>
        <v/>
      </c>
      <c r="AE119" s="24" t="str">
        <f t="shared" si="27"/>
        <v/>
      </c>
      <c r="AF119" s="25" t="str">
        <f t="shared" si="28"/>
        <v>BONUS</v>
      </c>
    </row>
    <row r="120" spans="1:32" x14ac:dyDescent="0.25">
      <c r="A120" s="22" t="s">
        <v>137</v>
      </c>
      <c r="B120" s="22" t="s">
        <v>138</v>
      </c>
      <c r="C120" s="22" t="s">
        <v>44</v>
      </c>
      <c r="D120" s="23">
        <v>0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 t="shared" si="29"/>
        <v>0</v>
      </c>
      <c r="K120" s="24">
        <f t="shared" si="30"/>
        <v>26000</v>
      </c>
      <c r="L120" s="24">
        <f t="shared" si="31"/>
        <v>4000</v>
      </c>
      <c r="M120" s="24">
        <f t="shared" si="32"/>
        <v>0</v>
      </c>
      <c r="N120" s="24">
        <f t="shared" si="33"/>
        <v>0</v>
      </c>
      <c r="O120" s="24">
        <v>13380</v>
      </c>
      <c r="P120" s="24">
        <v>7550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4"/>
        <v>50930</v>
      </c>
      <c r="AA120" s="24">
        <v>0</v>
      </c>
      <c r="AB120" s="20">
        <f t="shared" si="35"/>
        <v>50930</v>
      </c>
      <c r="AC120" s="24" t="str">
        <f t="shared" si="25"/>
        <v/>
      </c>
      <c r="AD120" s="24" t="str">
        <f t="shared" si="26"/>
        <v/>
      </c>
      <c r="AE120" s="24" t="str">
        <f t="shared" si="27"/>
        <v/>
      </c>
      <c r="AF120" s="25" t="str">
        <f t="shared" si="28"/>
        <v/>
      </c>
    </row>
    <row r="121" spans="1:32" x14ac:dyDescent="0.25">
      <c r="A121" s="26"/>
      <c r="B121" s="26"/>
      <c r="C121" s="26"/>
      <c r="D121" s="27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>
        <f t="shared" ref="O121:AE121" si="36">SUM(O2:O120)</f>
        <v>2103910</v>
      </c>
      <c r="P121" s="28">
        <f t="shared" si="36"/>
        <v>1203390</v>
      </c>
      <c r="Q121" s="28">
        <f t="shared" si="36"/>
        <v>76000</v>
      </c>
      <c r="R121" s="28">
        <f t="shared" si="36"/>
        <v>8000</v>
      </c>
      <c r="S121" s="28">
        <f t="shared" si="36"/>
        <v>0</v>
      </c>
      <c r="T121" s="28">
        <f t="shared" si="36"/>
        <v>252000</v>
      </c>
      <c r="U121" s="28">
        <f t="shared" si="36"/>
        <v>0</v>
      </c>
      <c r="V121" s="28">
        <f t="shared" si="36"/>
        <v>0</v>
      </c>
      <c r="W121" s="28">
        <f t="shared" si="36"/>
        <v>0</v>
      </c>
      <c r="X121" s="28">
        <f t="shared" si="36"/>
        <v>0</v>
      </c>
      <c r="Y121" s="28">
        <f t="shared" si="36"/>
        <v>188670</v>
      </c>
      <c r="Z121" s="28">
        <f t="shared" si="36"/>
        <v>7290295</v>
      </c>
      <c r="AA121" s="28">
        <f t="shared" si="36"/>
        <v>628485</v>
      </c>
      <c r="AB121" s="28">
        <f t="shared" si="36"/>
        <v>6661810</v>
      </c>
      <c r="AC121" s="28">
        <f t="shared" si="36"/>
        <v>6000</v>
      </c>
      <c r="AD121" s="28">
        <f t="shared" si="36"/>
        <v>0</v>
      </c>
      <c r="AE121" s="28">
        <f t="shared" si="36"/>
        <v>0</v>
      </c>
      <c r="AF121" s="25"/>
    </row>
    <row r="122" spans="1:32" x14ac:dyDescent="0.25">
      <c r="A122" s="29"/>
      <c r="B122" s="29"/>
      <c r="C122" s="29"/>
      <c r="D122" s="30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2"/>
      <c r="AC122" s="33"/>
      <c r="AD122" s="33"/>
    </row>
    <row r="123" spans="1:32" x14ac:dyDescent="0.25">
      <c r="A123" s="29"/>
      <c r="B123" s="29"/>
      <c r="C123" s="29"/>
      <c r="D123" s="30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2"/>
      <c r="AC123" s="33"/>
      <c r="AD123" s="33"/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4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34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5"/>
      <c r="AC265" s="33"/>
      <c r="AD265" s="33"/>
    </row>
    <row r="266" spans="1:30" x14ac:dyDescent="0.25">
      <c r="AB266" s="35"/>
      <c r="AC266" s="33"/>
      <c r="AD266" s="33"/>
    </row>
    <row r="267" spans="1:30" x14ac:dyDescent="0.25"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C979" s="33"/>
      <c r="AD979" s="33"/>
    </row>
  </sheetData>
  <sortState xmlns:xlrd2="http://schemas.microsoft.com/office/spreadsheetml/2017/richdata2" ref="A2:AF121">
    <sortCondition ref="A2:A121"/>
  </sortState>
  <phoneticPr fontId="3" type="noConversion"/>
  <conditionalFormatting sqref="AC1:AF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tabSelected="1"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A16" sqref="A16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53.140625" style="7" bestFit="1" customWidth="1"/>
    <col min="4" max="4" width="16.85546875" style="9" bestFit="1" customWidth="1"/>
    <col min="5" max="5" width="3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46271</v>
      </c>
      <c r="B12" s="7" t="s">
        <v>250</v>
      </c>
      <c r="C12" s="7" t="s">
        <v>267</v>
      </c>
      <c r="D12" s="9">
        <v>60000</v>
      </c>
      <c r="E12" s="7" t="s">
        <v>268</v>
      </c>
    </row>
    <row r="13" spans="1:24" s="8" customFormat="1" x14ac:dyDescent="0.25">
      <c r="A13" s="8">
        <v>46270</v>
      </c>
      <c r="B13" s="7" t="s">
        <v>270</v>
      </c>
      <c r="C13" s="7" t="s">
        <v>269</v>
      </c>
      <c r="D13" s="9">
        <v>79020</v>
      </c>
      <c r="E13" s="7" t="s">
        <v>275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271</v>
      </c>
      <c r="D14" s="9">
        <v>42350</v>
      </c>
      <c r="E14" s="7" t="s">
        <v>274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46270</v>
      </c>
      <c r="B15" s="7" t="s">
        <v>270</v>
      </c>
      <c r="C15" s="7" t="s">
        <v>272</v>
      </c>
      <c r="D15" s="9">
        <v>50000</v>
      </c>
      <c r="E15" s="7" t="s">
        <v>273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ACCOUNT'!T2:T120,6000)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2026-09-06T09:35:00Z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