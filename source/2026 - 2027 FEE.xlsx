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9FF3EC81-5496-4243-92AE-9084A62E2CA6}" xr6:coauthVersionLast="47" xr6:coauthVersionMax="47" xr10:uidLastSave="{00000000-0000-0000-0000-000000000000}"/>
  <bookViews>
    <workbookView xWindow="-120" yWindow="-120" windowWidth="24240" windowHeight="13020" tabRatio="781" activeTab="2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ACCOUNT'!$A$1:$AE$139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2" i="14" l="1"/>
  <c r="K92" i="14"/>
  <c r="L92" i="14"/>
  <c r="M92" i="14"/>
  <c r="N92" i="14"/>
  <c r="J116" i="14"/>
  <c r="K116" i="14"/>
  <c r="L116" i="14"/>
  <c r="M116" i="14"/>
  <c r="N116" i="14"/>
  <c r="J102" i="14"/>
  <c r="K102" i="14"/>
  <c r="L102" i="14"/>
  <c r="M102" i="14"/>
  <c r="N102" i="14"/>
  <c r="Z102" i="14"/>
  <c r="AB102" i="14"/>
  <c r="AE102" i="14"/>
  <c r="J41" i="14"/>
  <c r="K41" i="14"/>
  <c r="L41" i="14"/>
  <c r="M41" i="14"/>
  <c r="N41" i="14"/>
  <c r="Z41" i="14"/>
  <c r="AB41" i="14"/>
  <c r="AC41" i="14" s="1"/>
  <c r="AD41" i="14"/>
  <c r="AE41" i="14"/>
  <c r="J86" i="14"/>
  <c r="K86" i="14"/>
  <c r="L86" i="14"/>
  <c r="M86" i="14"/>
  <c r="N86" i="14"/>
  <c r="J71" i="14"/>
  <c r="K71" i="14"/>
  <c r="L71" i="14"/>
  <c r="M71" i="14"/>
  <c r="N71" i="14"/>
  <c r="O140" i="14"/>
  <c r="P140" i="14"/>
  <c r="Q140" i="14"/>
  <c r="R140" i="14"/>
  <c r="S140" i="14"/>
  <c r="T140" i="14"/>
  <c r="U140" i="14"/>
  <c r="V140" i="14"/>
  <c r="W140" i="14"/>
  <c r="X140" i="14"/>
  <c r="Y140" i="14"/>
  <c r="AF140" i="14"/>
  <c r="AA140" i="14"/>
  <c r="J54" i="14"/>
  <c r="K54" i="14"/>
  <c r="L54" i="14"/>
  <c r="M54" i="14"/>
  <c r="N54" i="14"/>
  <c r="J55" i="14"/>
  <c r="K55" i="14"/>
  <c r="L55" i="14"/>
  <c r="M55" i="14"/>
  <c r="N55" i="14"/>
  <c r="J56" i="14"/>
  <c r="K56" i="14"/>
  <c r="L56" i="14"/>
  <c r="M56" i="14"/>
  <c r="N56" i="14"/>
  <c r="J57" i="14"/>
  <c r="K57" i="14"/>
  <c r="L57" i="14"/>
  <c r="M57" i="14"/>
  <c r="N57" i="14"/>
  <c r="J58" i="14"/>
  <c r="K58" i="14"/>
  <c r="L58" i="14"/>
  <c r="M58" i="14"/>
  <c r="N58" i="14"/>
  <c r="J59" i="14"/>
  <c r="K59" i="14"/>
  <c r="L59" i="14"/>
  <c r="M59" i="14"/>
  <c r="N59" i="14"/>
  <c r="J60" i="14"/>
  <c r="K60" i="14"/>
  <c r="L60" i="14"/>
  <c r="M60" i="14"/>
  <c r="N60" i="14"/>
  <c r="J61" i="14"/>
  <c r="K61" i="14"/>
  <c r="L61" i="14"/>
  <c r="M61" i="14"/>
  <c r="N61" i="14"/>
  <c r="J62" i="14"/>
  <c r="K62" i="14"/>
  <c r="L62" i="14"/>
  <c r="M62" i="14"/>
  <c r="N62" i="14"/>
  <c r="J63" i="14"/>
  <c r="K63" i="14"/>
  <c r="L63" i="14"/>
  <c r="M63" i="14"/>
  <c r="N63" i="14"/>
  <c r="J64" i="14"/>
  <c r="K64" i="14"/>
  <c r="L64" i="14"/>
  <c r="M64" i="14"/>
  <c r="N64" i="14"/>
  <c r="J65" i="14"/>
  <c r="K65" i="14"/>
  <c r="L65" i="14"/>
  <c r="M65" i="14"/>
  <c r="N65" i="14"/>
  <c r="J66" i="14"/>
  <c r="K66" i="14"/>
  <c r="L66" i="14"/>
  <c r="M66" i="14"/>
  <c r="N66" i="14"/>
  <c r="J67" i="14"/>
  <c r="K67" i="14"/>
  <c r="L67" i="14"/>
  <c r="M67" i="14"/>
  <c r="N67" i="14"/>
  <c r="J68" i="14"/>
  <c r="K68" i="14"/>
  <c r="L68" i="14"/>
  <c r="M68" i="14"/>
  <c r="N68" i="14"/>
  <c r="J69" i="14"/>
  <c r="K69" i="14"/>
  <c r="L69" i="14"/>
  <c r="M69" i="14"/>
  <c r="N69" i="14"/>
  <c r="J70" i="14"/>
  <c r="K70" i="14"/>
  <c r="L70" i="14"/>
  <c r="M70" i="14"/>
  <c r="N70" i="14"/>
  <c r="J72" i="14"/>
  <c r="K72" i="14"/>
  <c r="L72" i="14"/>
  <c r="M72" i="14"/>
  <c r="N72" i="14"/>
  <c r="J73" i="14"/>
  <c r="K73" i="14"/>
  <c r="L73" i="14"/>
  <c r="M73" i="14"/>
  <c r="N73" i="14"/>
  <c r="J74" i="14"/>
  <c r="K74" i="14"/>
  <c r="L74" i="14"/>
  <c r="M74" i="14"/>
  <c r="N74" i="14"/>
  <c r="J75" i="14"/>
  <c r="K75" i="14"/>
  <c r="L75" i="14"/>
  <c r="M75" i="14"/>
  <c r="N75" i="14"/>
  <c r="J76" i="14"/>
  <c r="K76" i="14"/>
  <c r="L76" i="14"/>
  <c r="M76" i="14"/>
  <c r="N76" i="14"/>
  <c r="J77" i="14"/>
  <c r="K77" i="14"/>
  <c r="L77" i="14"/>
  <c r="M77" i="14"/>
  <c r="N77" i="14"/>
  <c r="J78" i="14"/>
  <c r="K78" i="14"/>
  <c r="L78" i="14"/>
  <c r="M78" i="14"/>
  <c r="N78" i="14"/>
  <c r="J79" i="14"/>
  <c r="K79" i="14"/>
  <c r="L79" i="14"/>
  <c r="M79" i="14"/>
  <c r="N79" i="14"/>
  <c r="J80" i="14"/>
  <c r="K80" i="14"/>
  <c r="L80" i="14"/>
  <c r="M80" i="14"/>
  <c r="N80" i="14"/>
  <c r="J81" i="14"/>
  <c r="K81" i="14"/>
  <c r="L81" i="14"/>
  <c r="M81" i="14"/>
  <c r="N81" i="14"/>
  <c r="J82" i="14"/>
  <c r="K82" i="14"/>
  <c r="L82" i="14"/>
  <c r="M82" i="14"/>
  <c r="N82" i="14"/>
  <c r="J83" i="14"/>
  <c r="K83" i="14"/>
  <c r="L83" i="14"/>
  <c r="M83" i="14"/>
  <c r="N83" i="14"/>
  <c r="J84" i="14"/>
  <c r="K84" i="14"/>
  <c r="L84" i="14"/>
  <c r="M84" i="14"/>
  <c r="N84" i="14"/>
  <c r="J85" i="14"/>
  <c r="K85" i="14"/>
  <c r="L85" i="14"/>
  <c r="M85" i="14"/>
  <c r="N85" i="14"/>
  <c r="J87" i="14"/>
  <c r="K87" i="14"/>
  <c r="L87" i="14"/>
  <c r="M87" i="14"/>
  <c r="N87" i="14"/>
  <c r="J88" i="14"/>
  <c r="K88" i="14"/>
  <c r="L88" i="14"/>
  <c r="M88" i="14"/>
  <c r="N88" i="14"/>
  <c r="J89" i="14"/>
  <c r="K89" i="14"/>
  <c r="L89" i="14"/>
  <c r="M89" i="14"/>
  <c r="N89" i="14"/>
  <c r="J90" i="14"/>
  <c r="K90" i="14"/>
  <c r="L90" i="14"/>
  <c r="M90" i="14"/>
  <c r="N90" i="14"/>
  <c r="J91" i="14"/>
  <c r="K91" i="14"/>
  <c r="L91" i="14"/>
  <c r="M91" i="14"/>
  <c r="N91" i="14"/>
  <c r="J93" i="14"/>
  <c r="K93" i="14"/>
  <c r="L93" i="14"/>
  <c r="M93" i="14"/>
  <c r="N93" i="14"/>
  <c r="J94" i="14"/>
  <c r="K94" i="14"/>
  <c r="L94" i="14"/>
  <c r="M94" i="14"/>
  <c r="N94" i="14"/>
  <c r="J95" i="14"/>
  <c r="K95" i="14"/>
  <c r="L95" i="14"/>
  <c r="M95" i="14"/>
  <c r="N95" i="14"/>
  <c r="J96" i="14"/>
  <c r="K96" i="14"/>
  <c r="L96" i="14"/>
  <c r="M96" i="14"/>
  <c r="N96" i="14"/>
  <c r="J97" i="14"/>
  <c r="K97" i="14"/>
  <c r="L97" i="14"/>
  <c r="M97" i="14"/>
  <c r="N97" i="14"/>
  <c r="J98" i="14"/>
  <c r="K98" i="14"/>
  <c r="L98" i="14"/>
  <c r="M98" i="14"/>
  <c r="N98" i="14"/>
  <c r="J99" i="14"/>
  <c r="K99" i="14"/>
  <c r="L99" i="14"/>
  <c r="M99" i="14"/>
  <c r="N99" i="14"/>
  <c r="J100" i="14"/>
  <c r="K100" i="14"/>
  <c r="L100" i="14"/>
  <c r="M100" i="14"/>
  <c r="N100" i="14"/>
  <c r="J101" i="14"/>
  <c r="K101" i="14"/>
  <c r="L101" i="14"/>
  <c r="M101" i="14"/>
  <c r="N101" i="14"/>
  <c r="J103" i="14"/>
  <c r="K103" i="14"/>
  <c r="L103" i="14"/>
  <c r="M103" i="14"/>
  <c r="N103" i="14"/>
  <c r="J104" i="14"/>
  <c r="K104" i="14"/>
  <c r="L104" i="14"/>
  <c r="M104" i="14"/>
  <c r="N104" i="14"/>
  <c r="J105" i="14"/>
  <c r="K105" i="14"/>
  <c r="L105" i="14"/>
  <c r="M105" i="14"/>
  <c r="N105" i="14"/>
  <c r="J106" i="14"/>
  <c r="K106" i="14"/>
  <c r="L106" i="14"/>
  <c r="M106" i="14"/>
  <c r="N106" i="14"/>
  <c r="J107" i="14"/>
  <c r="K107" i="14"/>
  <c r="L107" i="14"/>
  <c r="M107" i="14"/>
  <c r="N107" i="14"/>
  <c r="J108" i="14"/>
  <c r="K108" i="14"/>
  <c r="L108" i="14"/>
  <c r="M108" i="14"/>
  <c r="N108" i="14"/>
  <c r="Z108" i="14" s="1"/>
  <c r="AB108" i="14" s="1"/>
  <c r="J109" i="14"/>
  <c r="K109" i="14"/>
  <c r="L109" i="14"/>
  <c r="M109" i="14"/>
  <c r="N109" i="14"/>
  <c r="J110" i="14"/>
  <c r="K110" i="14"/>
  <c r="L110" i="14"/>
  <c r="M110" i="14"/>
  <c r="N110" i="14"/>
  <c r="J111" i="14"/>
  <c r="K111" i="14"/>
  <c r="L111" i="14"/>
  <c r="M111" i="14"/>
  <c r="N111" i="14"/>
  <c r="J112" i="14"/>
  <c r="K112" i="14"/>
  <c r="L112" i="14"/>
  <c r="M112" i="14"/>
  <c r="N112" i="14"/>
  <c r="J113" i="14"/>
  <c r="K113" i="14"/>
  <c r="L113" i="14"/>
  <c r="M113" i="14"/>
  <c r="N113" i="14"/>
  <c r="J114" i="14"/>
  <c r="K114" i="14"/>
  <c r="L114" i="14"/>
  <c r="M114" i="14"/>
  <c r="N114" i="14"/>
  <c r="J115" i="14"/>
  <c r="K115" i="14"/>
  <c r="L115" i="14"/>
  <c r="M115" i="14"/>
  <c r="N115" i="14"/>
  <c r="J117" i="14"/>
  <c r="K117" i="14"/>
  <c r="L117" i="14"/>
  <c r="M117" i="14"/>
  <c r="N117" i="14"/>
  <c r="J118" i="14"/>
  <c r="K118" i="14"/>
  <c r="L118" i="14"/>
  <c r="M118" i="14"/>
  <c r="N118" i="14"/>
  <c r="J119" i="14"/>
  <c r="K119" i="14"/>
  <c r="L119" i="14"/>
  <c r="M119" i="14"/>
  <c r="N119" i="14"/>
  <c r="J120" i="14"/>
  <c r="K120" i="14"/>
  <c r="L120" i="14"/>
  <c r="M120" i="14"/>
  <c r="N120" i="14"/>
  <c r="J121" i="14"/>
  <c r="K121" i="14"/>
  <c r="L121" i="14"/>
  <c r="M121" i="14"/>
  <c r="N121" i="14"/>
  <c r="J122" i="14"/>
  <c r="K122" i="14"/>
  <c r="L122" i="14"/>
  <c r="M122" i="14"/>
  <c r="N122" i="14"/>
  <c r="J123" i="14"/>
  <c r="K123" i="14"/>
  <c r="L123" i="14"/>
  <c r="M123" i="14"/>
  <c r="N123" i="14"/>
  <c r="J124" i="14"/>
  <c r="K124" i="14"/>
  <c r="L124" i="14"/>
  <c r="M124" i="14"/>
  <c r="N124" i="14"/>
  <c r="J125" i="14"/>
  <c r="K125" i="14"/>
  <c r="L125" i="14"/>
  <c r="M125" i="14"/>
  <c r="N125" i="14"/>
  <c r="J126" i="14"/>
  <c r="K126" i="14"/>
  <c r="L126" i="14"/>
  <c r="M126" i="14"/>
  <c r="N126" i="14"/>
  <c r="J127" i="14"/>
  <c r="K127" i="14"/>
  <c r="L127" i="14"/>
  <c r="M127" i="14"/>
  <c r="N127" i="14"/>
  <c r="J128" i="14"/>
  <c r="K128" i="14"/>
  <c r="L128" i="14"/>
  <c r="M128" i="14"/>
  <c r="N128" i="14"/>
  <c r="J129" i="14"/>
  <c r="K129" i="14"/>
  <c r="L129" i="14"/>
  <c r="M129" i="14"/>
  <c r="N129" i="14"/>
  <c r="J130" i="14"/>
  <c r="K130" i="14"/>
  <c r="L130" i="14"/>
  <c r="M130" i="14"/>
  <c r="N130" i="14"/>
  <c r="J131" i="14"/>
  <c r="K131" i="14"/>
  <c r="L131" i="14"/>
  <c r="M131" i="14"/>
  <c r="N131" i="14"/>
  <c r="J132" i="14"/>
  <c r="K132" i="14"/>
  <c r="L132" i="14"/>
  <c r="M132" i="14"/>
  <c r="N132" i="14"/>
  <c r="J133" i="14"/>
  <c r="K133" i="14"/>
  <c r="L133" i="14"/>
  <c r="M133" i="14"/>
  <c r="N133" i="14"/>
  <c r="J134" i="14"/>
  <c r="K134" i="14"/>
  <c r="L134" i="14"/>
  <c r="M134" i="14"/>
  <c r="N134" i="14"/>
  <c r="J135" i="14"/>
  <c r="K135" i="14"/>
  <c r="L135" i="14"/>
  <c r="M135" i="14"/>
  <c r="N135" i="14"/>
  <c r="J136" i="14"/>
  <c r="K136" i="14"/>
  <c r="L136" i="14"/>
  <c r="M136" i="14"/>
  <c r="N136" i="14"/>
  <c r="J137" i="14"/>
  <c r="K137" i="14"/>
  <c r="L137" i="14"/>
  <c r="M137" i="14"/>
  <c r="N137" i="14"/>
  <c r="J138" i="14"/>
  <c r="K138" i="14"/>
  <c r="L138" i="14"/>
  <c r="M138" i="14"/>
  <c r="N138" i="14"/>
  <c r="J139" i="14"/>
  <c r="K139" i="14"/>
  <c r="L139" i="14"/>
  <c r="M139" i="14"/>
  <c r="N139" i="14"/>
  <c r="J3" i="14"/>
  <c r="K3" i="14"/>
  <c r="L3" i="14"/>
  <c r="M3" i="14"/>
  <c r="N3" i="14"/>
  <c r="J4" i="14"/>
  <c r="K4" i="14"/>
  <c r="L4" i="14"/>
  <c r="M4" i="14"/>
  <c r="N4" i="14"/>
  <c r="J5" i="14"/>
  <c r="K5" i="14"/>
  <c r="L5" i="14"/>
  <c r="M5" i="14"/>
  <c r="N5" i="14"/>
  <c r="J6" i="14"/>
  <c r="K6" i="14"/>
  <c r="L6" i="14"/>
  <c r="M6" i="14"/>
  <c r="N6" i="14"/>
  <c r="J7" i="14"/>
  <c r="K7" i="14"/>
  <c r="L7" i="14"/>
  <c r="M7" i="14"/>
  <c r="N7" i="14"/>
  <c r="J8" i="14"/>
  <c r="K8" i="14"/>
  <c r="L8" i="14"/>
  <c r="M8" i="14"/>
  <c r="N8" i="14"/>
  <c r="J9" i="14"/>
  <c r="K9" i="14"/>
  <c r="L9" i="14"/>
  <c r="M9" i="14"/>
  <c r="N9" i="14"/>
  <c r="J10" i="14"/>
  <c r="K10" i="14"/>
  <c r="L10" i="14"/>
  <c r="M10" i="14"/>
  <c r="N10" i="14"/>
  <c r="J11" i="14"/>
  <c r="K11" i="14"/>
  <c r="L11" i="14"/>
  <c r="M11" i="14"/>
  <c r="N11" i="14"/>
  <c r="J12" i="14"/>
  <c r="K12" i="14"/>
  <c r="L12" i="14"/>
  <c r="M12" i="14"/>
  <c r="N12" i="14"/>
  <c r="J13" i="14"/>
  <c r="K13" i="14"/>
  <c r="L13" i="14"/>
  <c r="M13" i="14"/>
  <c r="N13" i="14"/>
  <c r="J14" i="14"/>
  <c r="K14" i="14"/>
  <c r="L14" i="14"/>
  <c r="M14" i="14"/>
  <c r="N14" i="14"/>
  <c r="J15" i="14"/>
  <c r="K15" i="14"/>
  <c r="L15" i="14"/>
  <c r="M15" i="14"/>
  <c r="N15" i="14"/>
  <c r="J16" i="14"/>
  <c r="K16" i="14"/>
  <c r="L16" i="14"/>
  <c r="M16" i="14"/>
  <c r="N16" i="14"/>
  <c r="J17" i="14"/>
  <c r="K17" i="14"/>
  <c r="L17" i="14"/>
  <c r="M17" i="14"/>
  <c r="N17" i="14"/>
  <c r="J18" i="14"/>
  <c r="K18" i="14"/>
  <c r="L18" i="14"/>
  <c r="M18" i="14"/>
  <c r="N18" i="14"/>
  <c r="J19" i="14"/>
  <c r="K19" i="14"/>
  <c r="L19" i="14"/>
  <c r="M19" i="14"/>
  <c r="N19" i="14"/>
  <c r="J20" i="14"/>
  <c r="K20" i="14"/>
  <c r="L20" i="14"/>
  <c r="M20" i="14"/>
  <c r="N20" i="14"/>
  <c r="J21" i="14"/>
  <c r="K21" i="14"/>
  <c r="L21" i="14"/>
  <c r="M21" i="14"/>
  <c r="N21" i="14"/>
  <c r="J22" i="14"/>
  <c r="K22" i="14"/>
  <c r="L22" i="14"/>
  <c r="M22" i="14"/>
  <c r="N22" i="14"/>
  <c r="J23" i="14"/>
  <c r="K23" i="14"/>
  <c r="L23" i="14"/>
  <c r="M23" i="14"/>
  <c r="N23" i="14"/>
  <c r="J24" i="14"/>
  <c r="K24" i="14"/>
  <c r="L24" i="14"/>
  <c r="M24" i="14"/>
  <c r="N24" i="14"/>
  <c r="J25" i="14"/>
  <c r="K25" i="14"/>
  <c r="L25" i="14"/>
  <c r="M25" i="14"/>
  <c r="N25" i="14"/>
  <c r="J26" i="14"/>
  <c r="K26" i="14"/>
  <c r="L26" i="14"/>
  <c r="M26" i="14"/>
  <c r="N26" i="14"/>
  <c r="J27" i="14"/>
  <c r="K27" i="14"/>
  <c r="L27" i="14"/>
  <c r="M27" i="14"/>
  <c r="N27" i="14"/>
  <c r="J28" i="14"/>
  <c r="K28" i="14"/>
  <c r="L28" i="14"/>
  <c r="M28" i="14"/>
  <c r="N28" i="14"/>
  <c r="J29" i="14"/>
  <c r="K29" i="14"/>
  <c r="L29" i="14"/>
  <c r="M29" i="14"/>
  <c r="N29" i="14"/>
  <c r="J30" i="14"/>
  <c r="K30" i="14"/>
  <c r="L30" i="14"/>
  <c r="M30" i="14"/>
  <c r="N30" i="14"/>
  <c r="J31" i="14"/>
  <c r="K31" i="14"/>
  <c r="L31" i="14"/>
  <c r="M31" i="14"/>
  <c r="N31" i="14"/>
  <c r="J32" i="14"/>
  <c r="K32" i="14"/>
  <c r="L32" i="14"/>
  <c r="M32" i="14"/>
  <c r="N32" i="14"/>
  <c r="J33" i="14"/>
  <c r="K33" i="14"/>
  <c r="L33" i="14"/>
  <c r="M33" i="14"/>
  <c r="N33" i="14"/>
  <c r="J34" i="14"/>
  <c r="K34" i="14"/>
  <c r="L34" i="14"/>
  <c r="M34" i="14"/>
  <c r="N34" i="14"/>
  <c r="J35" i="14"/>
  <c r="K35" i="14"/>
  <c r="L35" i="14"/>
  <c r="M35" i="14"/>
  <c r="N35" i="14"/>
  <c r="J36" i="14"/>
  <c r="K36" i="14"/>
  <c r="L36" i="14"/>
  <c r="M36" i="14"/>
  <c r="N36" i="14"/>
  <c r="J37" i="14"/>
  <c r="K37" i="14"/>
  <c r="L37" i="14"/>
  <c r="M37" i="14"/>
  <c r="N37" i="14"/>
  <c r="J38" i="14"/>
  <c r="K38" i="14"/>
  <c r="L38" i="14"/>
  <c r="M38" i="14"/>
  <c r="N38" i="14"/>
  <c r="J39" i="14"/>
  <c r="K39" i="14"/>
  <c r="L39" i="14"/>
  <c r="M39" i="14"/>
  <c r="N39" i="14"/>
  <c r="J40" i="14"/>
  <c r="K40" i="14"/>
  <c r="L40" i="14"/>
  <c r="M40" i="14"/>
  <c r="N40" i="14"/>
  <c r="J42" i="14"/>
  <c r="K42" i="14"/>
  <c r="L42" i="14"/>
  <c r="M42" i="14"/>
  <c r="N42" i="14"/>
  <c r="J43" i="14"/>
  <c r="K43" i="14"/>
  <c r="L43" i="14"/>
  <c r="M43" i="14"/>
  <c r="N43" i="14"/>
  <c r="J44" i="14"/>
  <c r="K44" i="14"/>
  <c r="L44" i="14"/>
  <c r="M44" i="14"/>
  <c r="N44" i="14"/>
  <c r="J45" i="14"/>
  <c r="K45" i="14"/>
  <c r="L45" i="14"/>
  <c r="M45" i="14"/>
  <c r="N45" i="14"/>
  <c r="J46" i="14"/>
  <c r="K46" i="14"/>
  <c r="L46" i="14"/>
  <c r="M46" i="14"/>
  <c r="N46" i="14"/>
  <c r="J47" i="14"/>
  <c r="K47" i="14"/>
  <c r="L47" i="14"/>
  <c r="M47" i="14"/>
  <c r="N47" i="14"/>
  <c r="J48" i="14"/>
  <c r="K48" i="14"/>
  <c r="L48" i="14"/>
  <c r="M48" i="14"/>
  <c r="N48" i="14"/>
  <c r="J49" i="14"/>
  <c r="K49" i="14"/>
  <c r="L49" i="14"/>
  <c r="M49" i="14"/>
  <c r="N49" i="14"/>
  <c r="J50" i="14"/>
  <c r="K50" i="14"/>
  <c r="L50" i="14"/>
  <c r="M50" i="14"/>
  <c r="N50" i="14"/>
  <c r="J51" i="14"/>
  <c r="K51" i="14"/>
  <c r="L51" i="14"/>
  <c r="M51" i="14"/>
  <c r="N51" i="14"/>
  <c r="J52" i="14"/>
  <c r="K52" i="14"/>
  <c r="L52" i="14"/>
  <c r="M52" i="14"/>
  <c r="N52" i="14"/>
  <c r="J53" i="14"/>
  <c r="K53" i="14"/>
  <c r="L53" i="14"/>
  <c r="M53" i="14"/>
  <c r="N53" i="14"/>
  <c r="F1" i="13"/>
  <c r="J2" i="14"/>
  <c r="K2" i="14"/>
  <c r="L2" i="14"/>
  <c r="M2" i="14"/>
  <c r="N2" i="14"/>
  <c r="B15" i="12"/>
  <c r="B9" i="12"/>
  <c r="B3" i="12"/>
  <c r="AD102" i="14" l="1"/>
  <c r="AC102" i="14"/>
  <c r="Z92" i="14"/>
  <c r="AB92" i="14" s="1"/>
  <c r="AD92" i="14"/>
  <c r="AC92" i="14"/>
  <c r="AE92" i="14"/>
  <c r="Z116" i="14"/>
  <c r="AB116" i="14" s="1"/>
  <c r="Z86" i="14"/>
  <c r="AB86" i="14" s="1"/>
  <c r="AE86" i="14" s="1"/>
  <c r="Z71" i="14"/>
  <c r="AD86" i="14"/>
  <c r="AC86" i="14"/>
  <c r="J140" i="14"/>
  <c r="K140" i="14"/>
  <c r="AB71" i="14"/>
  <c r="AC71" i="14" s="1"/>
  <c r="M140" i="14"/>
  <c r="L140" i="14"/>
  <c r="N140" i="14"/>
  <c r="Z46" i="14"/>
  <c r="AB46" i="14" s="1"/>
  <c r="Z55" i="14"/>
  <c r="AB55" i="14" s="1"/>
  <c r="Z56" i="14"/>
  <c r="AB56" i="14" s="1"/>
  <c r="Z57" i="14"/>
  <c r="AB57" i="14" s="1"/>
  <c r="Z58" i="14"/>
  <c r="AB58" i="14" s="1"/>
  <c r="Z59" i="14"/>
  <c r="AB59" i="14" s="1"/>
  <c r="Z60" i="14"/>
  <c r="AB60" i="14" s="1"/>
  <c r="Z61" i="14"/>
  <c r="AB61" i="14" s="1"/>
  <c r="Z62" i="14"/>
  <c r="AB62" i="14" s="1"/>
  <c r="Z63" i="14"/>
  <c r="AB63" i="14" s="1"/>
  <c r="Z64" i="14"/>
  <c r="AB64" i="14" s="1"/>
  <c r="Z65" i="14"/>
  <c r="AB65" i="14" s="1"/>
  <c r="Z66" i="14"/>
  <c r="AB66" i="14" s="1"/>
  <c r="Z67" i="14"/>
  <c r="AB67" i="14" s="1"/>
  <c r="Z68" i="14"/>
  <c r="AB68" i="14" s="1"/>
  <c r="Z69" i="14"/>
  <c r="AB69" i="14" s="1"/>
  <c r="Z70" i="14"/>
  <c r="AB70" i="14" s="1"/>
  <c r="Z72" i="14"/>
  <c r="AB72" i="14" s="1"/>
  <c r="AE72" i="14" s="1"/>
  <c r="Z73" i="14"/>
  <c r="AB73" i="14" s="1"/>
  <c r="Z74" i="14"/>
  <c r="AB74" i="14" s="1"/>
  <c r="Z75" i="14"/>
  <c r="AB75" i="14" s="1"/>
  <c r="Z76" i="14"/>
  <c r="AB76" i="14" s="1"/>
  <c r="Z77" i="14"/>
  <c r="AB77" i="14" s="1"/>
  <c r="Z78" i="14"/>
  <c r="AB78" i="14" s="1"/>
  <c r="Z79" i="14"/>
  <c r="AB79" i="14" s="1"/>
  <c r="Z80" i="14"/>
  <c r="AB80" i="14" s="1"/>
  <c r="Z81" i="14"/>
  <c r="AB81" i="14" s="1"/>
  <c r="Z82" i="14"/>
  <c r="AB82" i="14" s="1"/>
  <c r="Z83" i="14"/>
  <c r="AB83" i="14" s="1"/>
  <c r="Z84" i="14"/>
  <c r="AB84" i="14" s="1"/>
  <c r="Z85" i="14"/>
  <c r="AB85" i="14" s="1"/>
  <c r="Z87" i="14"/>
  <c r="AB87" i="14" s="1"/>
  <c r="Z88" i="14"/>
  <c r="AB88" i="14" s="1"/>
  <c r="Z89" i="14"/>
  <c r="AB89" i="14" s="1"/>
  <c r="Z90" i="14"/>
  <c r="AB90" i="14" s="1"/>
  <c r="Z91" i="14"/>
  <c r="AB91" i="14" s="1"/>
  <c r="Z93" i="14"/>
  <c r="AB93" i="14" s="1"/>
  <c r="Z94" i="14"/>
  <c r="AB94" i="14" s="1"/>
  <c r="Z95" i="14"/>
  <c r="AB95" i="14" s="1"/>
  <c r="Z98" i="14"/>
  <c r="AB98" i="14" s="1"/>
  <c r="Z99" i="14"/>
  <c r="AB99" i="14" s="1"/>
  <c r="Z100" i="14"/>
  <c r="AB100" i="14" s="1"/>
  <c r="Z101" i="14"/>
  <c r="AB101" i="14" s="1"/>
  <c r="Z103" i="14"/>
  <c r="AB103" i="14" s="1"/>
  <c r="Z104" i="14"/>
  <c r="AB104" i="14" s="1"/>
  <c r="Z105" i="14"/>
  <c r="AB105" i="14" s="1"/>
  <c r="Z106" i="14"/>
  <c r="AB106" i="14" s="1"/>
  <c r="Z107" i="14"/>
  <c r="AB107" i="14" s="1"/>
  <c r="Z121" i="14"/>
  <c r="AB121" i="14" s="1"/>
  <c r="Z125" i="14"/>
  <c r="AB125" i="14" s="1"/>
  <c r="Z126" i="14"/>
  <c r="AB126" i="14" s="1"/>
  <c r="Z128" i="14"/>
  <c r="AB128" i="14" s="1"/>
  <c r="Z130" i="14"/>
  <c r="AB130" i="14" s="1"/>
  <c r="Z133" i="14"/>
  <c r="AB133" i="14" s="1"/>
  <c r="Z135" i="14"/>
  <c r="AB135" i="14" s="1"/>
  <c r="Z137" i="14"/>
  <c r="AB137" i="14" s="1"/>
  <c r="Z3" i="14"/>
  <c r="AB3" i="14" s="1"/>
  <c r="Z6" i="14"/>
  <c r="AB6" i="14" s="1"/>
  <c r="Z7" i="14"/>
  <c r="AB7" i="14" s="1"/>
  <c r="Z10" i="14"/>
  <c r="AB10" i="14" s="1"/>
  <c r="Z13" i="14"/>
  <c r="AB13" i="14" s="1"/>
  <c r="Z14" i="14"/>
  <c r="AB14" i="14" s="1"/>
  <c r="Z15" i="14"/>
  <c r="AB15" i="14" s="1"/>
  <c r="Z17" i="14"/>
  <c r="AB17" i="14" s="1"/>
  <c r="Z21" i="14"/>
  <c r="AB21" i="14" s="1"/>
  <c r="Z24" i="14"/>
  <c r="AB24" i="14" s="1"/>
  <c r="Z25" i="14"/>
  <c r="AB25" i="14" s="1"/>
  <c r="Z27" i="14"/>
  <c r="AB27" i="14" s="1"/>
  <c r="Z30" i="14"/>
  <c r="AB30" i="14" s="1"/>
  <c r="Z31" i="14"/>
  <c r="AB31" i="14" s="1"/>
  <c r="Z33" i="14"/>
  <c r="AB33" i="14" s="1"/>
  <c r="Z35" i="14"/>
  <c r="AB35" i="14" s="1"/>
  <c r="Z36" i="14"/>
  <c r="AB36" i="14" s="1"/>
  <c r="Z38" i="14"/>
  <c r="AB38" i="14" s="1"/>
  <c r="Z39" i="14"/>
  <c r="AB39" i="14" s="1"/>
  <c r="Z42" i="14"/>
  <c r="AB42" i="14" s="1"/>
  <c r="Z43" i="14"/>
  <c r="AB43" i="14" s="1"/>
  <c r="Z109" i="14"/>
  <c r="AB109" i="14" s="1"/>
  <c r="Z110" i="14"/>
  <c r="AB110" i="14" s="1"/>
  <c r="Z111" i="14"/>
  <c r="AB111" i="14" s="1"/>
  <c r="Z112" i="14"/>
  <c r="AB112" i="14" s="1"/>
  <c r="Z113" i="14"/>
  <c r="AB113" i="14" s="1"/>
  <c r="Z114" i="14"/>
  <c r="AB114" i="14" s="1"/>
  <c r="Z115" i="14"/>
  <c r="AB115" i="14" s="1"/>
  <c r="Z117" i="14"/>
  <c r="AB117" i="14" s="1"/>
  <c r="Z118" i="14"/>
  <c r="AB118" i="14" s="1"/>
  <c r="Z119" i="14"/>
  <c r="AB119" i="14" s="1"/>
  <c r="Z120" i="14"/>
  <c r="AB120" i="14" s="1"/>
  <c r="Z122" i="14"/>
  <c r="AB122" i="14" s="1"/>
  <c r="Z123" i="14"/>
  <c r="AB123" i="14" s="1"/>
  <c r="Z127" i="14"/>
  <c r="AB127" i="14" s="1"/>
  <c r="Z129" i="14"/>
  <c r="AB129" i="14" s="1"/>
  <c r="Z131" i="14"/>
  <c r="AB131" i="14" s="1"/>
  <c r="Z132" i="14"/>
  <c r="AB132" i="14" s="1"/>
  <c r="Z134" i="14"/>
  <c r="AB134" i="14" s="1"/>
  <c r="Z136" i="14"/>
  <c r="AB136" i="14" s="1"/>
  <c r="Z138" i="14"/>
  <c r="AB138" i="14" s="1"/>
  <c r="Z139" i="14"/>
  <c r="AB139" i="14" s="1"/>
  <c r="Z4" i="14"/>
  <c r="AB4" i="14" s="1"/>
  <c r="Z5" i="14"/>
  <c r="AB5" i="14" s="1"/>
  <c r="Z8" i="14"/>
  <c r="AB8" i="14" s="1"/>
  <c r="Z9" i="14"/>
  <c r="AB9" i="14" s="1"/>
  <c r="Z11" i="14"/>
  <c r="AB11" i="14" s="1"/>
  <c r="Z12" i="14"/>
  <c r="AB12" i="14" s="1"/>
  <c r="Z16" i="14"/>
  <c r="AB16" i="14" s="1"/>
  <c r="Z18" i="14"/>
  <c r="AB18" i="14" s="1"/>
  <c r="Z19" i="14"/>
  <c r="AB19" i="14" s="1"/>
  <c r="Z20" i="14"/>
  <c r="AB20" i="14" s="1"/>
  <c r="Z22" i="14"/>
  <c r="AB22" i="14" s="1"/>
  <c r="Z23" i="14"/>
  <c r="AB23" i="14" s="1"/>
  <c r="Z26" i="14"/>
  <c r="AB26" i="14" s="1"/>
  <c r="Z28" i="14"/>
  <c r="AB28" i="14" s="1"/>
  <c r="Z29" i="14"/>
  <c r="AB29" i="14" s="1"/>
  <c r="Z32" i="14"/>
  <c r="AB32" i="14" s="1"/>
  <c r="Z34" i="14"/>
  <c r="AB34" i="14" s="1"/>
  <c r="Z37" i="14"/>
  <c r="AB37" i="14" s="1"/>
  <c r="Z40" i="14"/>
  <c r="AB40" i="14" s="1"/>
  <c r="Z44" i="14"/>
  <c r="AB44" i="14" s="1"/>
  <c r="Z45" i="14"/>
  <c r="AB45" i="14" s="1"/>
  <c r="Z47" i="14"/>
  <c r="AB47" i="14" s="1"/>
  <c r="Z48" i="14"/>
  <c r="AB48" i="14" s="1"/>
  <c r="Z49" i="14"/>
  <c r="AB49" i="14" s="1"/>
  <c r="Z50" i="14"/>
  <c r="AB50" i="14" s="1"/>
  <c r="Z51" i="14"/>
  <c r="AB51" i="14" s="1"/>
  <c r="Z52" i="14"/>
  <c r="AB52" i="14" s="1"/>
  <c r="Z53" i="14"/>
  <c r="AB53" i="14" s="1"/>
  <c r="Z96" i="14"/>
  <c r="AB96" i="14" s="1"/>
  <c r="Z97" i="14"/>
  <c r="AB97" i="14" s="1"/>
  <c r="Z124" i="14"/>
  <c r="AB124" i="14" s="1"/>
  <c r="Z54" i="14"/>
  <c r="AB54" i="14" s="1"/>
  <c r="Z2" i="14"/>
  <c r="AE116" i="14" l="1"/>
  <c r="AD116" i="14"/>
  <c r="AC116" i="14"/>
  <c r="AE95" i="14"/>
  <c r="AD95" i="14"/>
  <c r="AC95" i="14"/>
  <c r="AD71" i="14"/>
  <c r="AE71" i="14"/>
  <c r="AB2" i="14"/>
  <c r="Z140" i="14"/>
  <c r="AD62" i="14"/>
  <c r="AE62" i="14"/>
  <c r="AC62" i="14"/>
  <c r="AE85" i="14"/>
  <c r="AD85" i="14"/>
  <c r="AC85" i="14"/>
  <c r="AC72" i="14"/>
  <c r="AD72" i="14"/>
  <c r="AC11" i="14"/>
  <c r="AD11" i="14"/>
  <c r="AE11" i="14"/>
  <c r="AE19" i="14"/>
  <c r="AD19" i="14"/>
  <c r="AC19" i="14"/>
  <c r="AD34" i="14"/>
  <c r="AC34" i="14"/>
  <c r="AE34" i="14"/>
  <c r="AC96" i="14"/>
  <c r="AE96" i="14"/>
  <c r="AD96" i="14"/>
  <c r="AC124" i="14"/>
  <c r="AD124" i="14"/>
  <c r="AE124" i="14"/>
  <c r="AC54" i="14"/>
  <c r="AD54" i="14"/>
  <c r="AE54" i="14"/>
  <c r="AC97" i="14"/>
  <c r="AD97" i="14"/>
  <c r="AE97" i="14"/>
  <c r="AC61" i="14"/>
  <c r="AD61" i="14"/>
  <c r="AE61" i="14"/>
  <c r="AC135" i="14"/>
  <c r="AD135" i="14"/>
  <c r="AE135" i="14"/>
  <c r="AC35" i="14"/>
  <c r="AE35" i="14"/>
  <c r="AD35" i="14"/>
  <c r="AD42" i="14"/>
  <c r="AE42" i="14"/>
  <c r="AC42" i="14"/>
  <c r="AC66" i="14"/>
  <c r="AD66" i="14"/>
  <c r="AE66" i="14"/>
  <c r="AE50" i="14"/>
  <c r="AD50" i="14"/>
  <c r="AC50" i="14"/>
  <c r="AC122" i="14"/>
  <c r="AD122" i="14"/>
  <c r="AE122" i="14"/>
  <c r="AD87" i="14"/>
  <c r="AC87" i="14"/>
  <c r="AE87" i="14"/>
  <c r="AD3" i="14"/>
  <c r="AE3" i="14"/>
  <c r="AC3" i="14"/>
  <c r="AC7" i="14"/>
  <c r="AD7" i="14"/>
  <c r="AE7" i="14"/>
  <c r="AC44" i="14"/>
  <c r="AD44" i="14"/>
  <c r="AE44" i="14"/>
  <c r="AD9" i="14"/>
  <c r="AC9" i="14"/>
  <c r="AE9" i="14"/>
  <c r="AE78" i="14"/>
  <c r="AD78" i="14"/>
  <c r="AC78" i="14"/>
  <c r="AD63" i="14"/>
  <c r="AE63" i="14"/>
  <c r="AC63" i="14"/>
  <c r="AE133" i="14"/>
  <c r="AD133" i="14"/>
  <c r="AC133" i="14"/>
  <c r="AE115" i="14"/>
  <c r="AD115" i="14"/>
  <c r="AC115" i="14"/>
  <c r="AE76" i="14"/>
  <c r="AD76" i="14"/>
  <c r="AC76" i="14"/>
  <c r="AE90" i="14"/>
  <c r="AD90" i="14"/>
  <c r="AC90" i="14"/>
  <c r="AC101" i="14"/>
  <c r="AD101" i="14"/>
  <c r="AE101" i="14"/>
  <c r="AC126" i="14"/>
  <c r="AD126" i="14"/>
  <c r="AE126" i="14"/>
  <c r="AE88" i="14"/>
  <c r="AD88" i="14"/>
  <c r="AC88" i="14"/>
  <c r="AC113" i="14"/>
  <c r="AD113" i="14"/>
  <c r="AE113" i="14"/>
  <c r="AC123" i="14"/>
  <c r="AD123" i="14"/>
  <c r="AE123" i="14"/>
  <c r="AE73" i="14"/>
  <c r="AC73" i="14"/>
  <c r="AD73" i="14"/>
  <c r="AC67" i="14"/>
  <c r="AD67" i="14"/>
  <c r="AE67" i="14"/>
  <c r="AC57" i="14"/>
  <c r="AE57" i="14"/>
  <c r="AD57" i="14"/>
  <c r="AC51" i="14"/>
  <c r="AD51" i="14"/>
  <c r="AE51" i="14"/>
  <c r="AE47" i="14"/>
  <c r="AD47" i="14"/>
  <c r="AC47" i="14"/>
  <c r="AE38" i="14"/>
  <c r="AD38" i="14"/>
  <c r="AC38" i="14"/>
  <c r="AE31" i="14"/>
  <c r="AD31" i="14"/>
  <c r="AC31" i="14"/>
  <c r="AD23" i="14"/>
  <c r="AE23" i="14"/>
  <c r="AC23" i="14"/>
  <c r="AD18" i="14"/>
  <c r="AC18" i="14"/>
  <c r="AE18" i="14"/>
  <c r="AE14" i="14"/>
  <c r="AC14" i="14"/>
  <c r="AD14" i="14"/>
  <c r="AD6" i="14"/>
  <c r="AC6" i="14"/>
  <c r="AE6" i="14"/>
  <c r="AD79" i="14"/>
  <c r="AE79" i="14"/>
  <c r="AC79" i="14"/>
  <c r="AE109" i="14"/>
  <c r="AD109" i="14"/>
  <c r="AC109" i="14"/>
  <c r="AC130" i="14"/>
  <c r="AE130" i="14"/>
  <c r="AD130" i="14"/>
  <c r="AD139" i="14"/>
  <c r="AC139" i="14"/>
  <c r="AE139" i="14"/>
  <c r="AE20" i="14"/>
  <c r="AC20" i="14"/>
  <c r="AD20" i="14"/>
  <c r="AE36" i="14"/>
  <c r="AD36" i="14"/>
  <c r="AC36" i="14"/>
  <c r="AE75" i="14"/>
  <c r="AD75" i="14"/>
  <c r="AC75" i="14"/>
  <c r="AC98" i="14"/>
  <c r="AE98" i="14"/>
  <c r="AD98" i="14"/>
  <c r="AE111" i="14"/>
  <c r="AD111" i="14"/>
  <c r="AC111" i="14"/>
  <c r="AE128" i="14"/>
  <c r="AD128" i="14"/>
  <c r="AC128" i="14"/>
  <c r="AE5" i="14"/>
  <c r="AD5" i="14"/>
  <c r="AC5" i="14"/>
  <c r="AE105" i="14"/>
  <c r="AD105" i="14"/>
  <c r="AC105" i="14"/>
  <c r="AD4" i="14"/>
  <c r="AE4" i="14"/>
  <c r="AC4" i="14"/>
  <c r="AC84" i="14"/>
  <c r="AD84" i="14"/>
  <c r="AE84" i="14"/>
  <c r="AE106" i="14"/>
  <c r="AD106" i="14"/>
  <c r="AC106" i="14"/>
  <c r="AC137" i="14"/>
  <c r="AD137" i="14"/>
  <c r="AE137" i="14"/>
  <c r="AE120" i="14"/>
  <c r="AD120" i="14"/>
  <c r="AC120" i="14"/>
  <c r="AE112" i="14"/>
  <c r="AD112" i="14"/>
  <c r="AC112" i="14"/>
  <c r="AE107" i="14"/>
  <c r="AD107" i="14"/>
  <c r="AC107" i="14"/>
  <c r="AE99" i="14"/>
  <c r="AD99" i="14"/>
  <c r="AC99" i="14"/>
  <c r="AC93" i="14"/>
  <c r="AD93" i="14"/>
  <c r="AE93" i="14"/>
  <c r="AD81" i="14"/>
  <c r="AE81" i="14"/>
  <c r="AC81" i="14"/>
  <c r="AE74" i="14"/>
  <c r="AD74" i="14"/>
  <c r="AC74" i="14"/>
  <c r="AC45" i="14"/>
  <c r="AE45" i="14"/>
  <c r="AD45" i="14"/>
  <c r="AC28" i="14"/>
  <c r="AD28" i="14"/>
  <c r="AE28" i="14"/>
  <c r="AE21" i="14"/>
  <c r="AC21" i="14"/>
  <c r="AD21" i="14"/>
  <c r="AC10" i="14"/>
  <c r="AD10" i="14"/>
  <c r="AE10" i="14"/>
  <c r="AC12" i="14"/>
  <c r="AE12" i="14"/>
  <c r="AD12" i="14"/>
  <c r="AD29" i="14"/>
  <c r="AC29" i="14"/>
  <c r="AE29" i="14"/>
  <c r="AE64" i="14"/>
  <c r="AD64" i="14"/>
  <c r="AC64" i="14"/>
  <c r="AE134" i="14"/>
  <c r="AD134" i="14"/>
  <c r="AC134" i="14"/>
  <c r="AE127" i="14"/>
  <c r="AD127" i="14"/>
  <c r="AC127" i="14"/>
  <c r="AD117" i="14"/>
  <c r="AE117" i="14"/>
  <c r="AC117" i="14"/>
  <c r="AE69" i="14"/>
  <c r="AC69" i="14"/>
  <c r="AD69" i="14"/>
  <c r="AE59" i="14"/>
  <c r="AC59" i="14"/>
  <c r="AD59" i="14"/>
  <c r="AD49" i="14"/>
  <c r="AC49" i="14"/>
  <c r="AE49" i="14"/>
  <c r="AD40" i="14"/>
  <c r="AE40" i="14"/>
  <c r="AC40" i="14"/>
  <c r="AE33" i="14"/>
  <c r="AC33" i="14"/>
  <c r="AD33" i="14"/>
  <c r="AD25" i="14"/>
  <c r="AC25" i="14"/>
  <c r="AE25" i="14"/>
  <c r="AE83" i="14"/>
  <c r="AC83" i="14"/>
  <c r="AD83" i="14"/>
  <c r="AD8" i="14"/>
  <c r="AE8" i="14"/>
  <c r="AC8" i="14"/>
  <c r="AE104" i="14"/>
  <c r="AC104" i="14"/>
  <c r="AD104" i="14"/>
  <c r="AE80" i="14"/>
  <c r="AD80" i="14"/>
  <c r="AC80" i="14"/>
  <c r="AE94" i="14"/>
  <c r="AD94" i="14"/>
  <c r="AC94" i="14"/>
  <c r="AE43" i="14"/>
  <c r="AD43" i="14"/>
  <c r="AC43" i="14"/>
  <c r="AC60" i="14"/>
  <c r="AD60" i="14"/>
  <c r="AE60" i="14"/>
  <c r="AD70" i="14"/>
  <c r="AE70" i="14"/>
  <c r="AC70" i="14"/>
  <c r="AE114" i="14"/>
  <c r="AD114" i="14"/>
  <c r="AC114" i="14"/>
  <c r="AC15" i="14"/>
  <c r="AD15" i="14"/>
  <c r="AE15" i="14"/>
  <c r="AC24" i="14"/>
  <c r="AE24" i="14"/>
  <c r="AD24" i="14"/>
  <c r="AC32" i="14"/>
  <c r="AD32" i="14"/>
  <c r="AE32" i="14"/>
  <c r="AE39" i="14"/>
  <c r="AD39" i="14"/>
  <c r="AC39" i="14"/>
  <c r="AE48" i="14"/>
  <c r="AC48" i="14"/>
  <c r="AD48" i="14"/>
  <c r="AE68" i="14"/>
  <c r="AD68" i="14"/>
  <c r="AC68" i="14"/>
  <c r="AC77" i="14"/>
  <c r="AD77" i="14"/>
  <c r="AE77" i="14"/>
  <c r="AC17" i="14"/>
  <c r="AE17" i="14"/>
  <c r="AD17" i="14"/>
  <c r="AE26" i="14"/>
  <c r="AD26" i="14"/>
  <c r="AC26" i="14"/>
  <c r="AD132" i="14"/>
  <c r="AC132" i="14"/>
  <c r="AE132" i="14"/>
  <c r="AC13" i="14"/>
  <c r="AD13" i="14"/>
  <c r="AE13" i="14"/>
  <c r="AC22" i="14"/>
  <c r="AD22" i="14"/>
  <c r="AE22" i="14"/>
  <c r="AD30" i="14"/>
  <c r="AE30" i="14"/>
  <c r="AC30" i="14"/>
  <c r="AC37" i="14"/>
  <c r="AD37" i="14"/>
  <c r="AE37" i="14"/>
  <c r="AE46" i="14"/>
  <c r="AD46" i="14"/>
  <c r="AC46" i="14"/>
  <c r="AC56" i="14"/>
  <c r="AD56" i="14"/>
  <c r="AE56" i="14"/>
  <c r="AD65" i="14"/>
  <c r="AC65" i="14"/>
  <c r="AE65" i="14"/>
  <c r="AD82" i="14"/>
  <c r="AC82" i="14"/>
  <c r="AE82" i="14"/>
  <c r="AE103" i="14"/>
  <c r="AC103" i="14"/>
  <c r="AD103" i="14"/>
  <c r="AC121" i="14"/>
  <c r="AD121" i="14"/>
  <c r="AE121" i="14"/>
  <c r="AC131" i="14"/>
  <c r="AD131" i="14"/>
  <c r="AE131" i="14"/>
  <c r="AC138" i="14"/>
  <c r="AE138" i="14"/>
  <c r="AD138" i="14"/>
  <c r="AD89" i="14"/>
  <c r="AC89" i="14"/>
  <c r="AE89" i="14"/>
  <c r="AD108" i="14"/>
  <c r="AE108" i="14"/>
  <c r="AC108" i="14"/>
  <c r="AC110" i="14"/>
  <c r="AD110" i="14"/>
  <c r="AE110" i="14"/>
  <c r="AD129" i="14"/>
  <c r="AE129" i="14"/>
  <c r="AC129" i="14"/>
  <c r="AE136" i="14"/>
  <c r="AD136" i="14"/>
  <c r="AC136" i="14"/>
  <c r="AC52" i="14"/>
  <c r="AD52" i="14"/>
  <c r="AE52" i="14"/>
  <c r="AC125" i="14"/>
  <c r="AD125" i="14"/>
  <c r="AE125" i="14"/>
  <c r="AD27" i="14"/>
  <c r="AE27" i="14"/>
  <c r="AC27" i="14"/>
  <c r="AD100" i="14"/>
  <c r="AC100" i="14"/>
  <c r="AE100" i="14"/>
  <c r="AD91" i="14"/>
  <c r="AC91" i="14"/>
  <c r="AE91" i="14"/>
  <c r="AC119" i="14"/>
  <c r="AD119" i="14"/>
  <c r="AE119" i="14"/>
  <c r="AD118" i="14"/>
  <c r="AC118" i="14"/>
  <c r="AE118" i="14"/>
  <c r="AE16" i="14"/>
  <c r="AD16" i="14"/>
  <c r="AC16" i="14"/>
  <c r="AB140" i="14" l="1"/>
  <c r="AE2" i="14"/>
  <c r="AC2" i="14"/>
  <c r="AD2" i="14"/>
  <c r="AC58" i="14"/>
  <c r="AD58" i="14"/>
  <c r="AE58" i="14"/>
  <c r="AC53" i="14"/>
  <c r="AD53" i="14"/>
  <c r="AE53" i="14"/>
  <c r="AD140" i="14" l="1"/>
  <c r="B8" i="12" s="1"/>
  <c r="AC140" i="14"/>
  <c r="B2" i="12" s="1"/>
  <c r="C2" i="12" s="1"/>
  <c r="AE140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<sst xmlns="http://schemas.openxmlformats.org/spreadsheetml/2006/main" count="882" uniqueCount="432">
  <si>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</si>
  <si>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</si>
  <si>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</si>
  <si>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</si>
  <si>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</si>
  <si>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</si>
  <si>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</si>
  <si>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</si>
  <si>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</si>
  <si>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</si>
  <si>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</si>
  <si>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</si>
  <si>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</si>
  <si>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</si>
  <si>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</si>
  <si>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</si>
  <si>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</si>
  <si>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</si>
  <si>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</si>
  <si>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</si>
  <si>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</si>
  <si>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</si>
  <si>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</si>
  <si>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</si>
  <si>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</si>
  <si>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</si>
  <si>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</si>
  <si>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</si>
  <si>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</si>
  <si>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</si>
  <si>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</si>
  <si>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</si>
  <si>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</si>
  <si>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</si>
  <si>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</si>
  <si>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</si>
  <si>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</si>
  <si>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</si>
  <si>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</si>
  <si>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</si>
  <si>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</si>
  <si>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</si>
  <si>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</si>
  <si>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</si>
  <si>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</si>
  <si>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</si>
  <si>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</si>
  <si>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</si>
  <si>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</si>
  <si>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</si>
  <si>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</si>
  <si>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</si>
  <si>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</si>
  <si>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</si>
  <si>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</si>
  <si>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</si>
  <si>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</si>
  <si>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</si>
  <si>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</si>
  <si>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</si>
  <si>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</si>
  <si>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</si>
  <si>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</si>
  <si>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</si>
  <si>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</si>
  <si>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</si>
  <si>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</si>
  <si>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</si>
  <si>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</si>
  <si>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</si>
  <si>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</si>
  <si>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</si>
  <si>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</si>
  <si>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</si>
  <si>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</si>
  <si>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</si>
  <si>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</si>
  <si>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</si>
  <si>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</si>
  <si>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</si>
  <si>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</si>
  <si>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</si>
  <si>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</si>
  <si>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</si>
  <si>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</si>
  <si>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</si>
  <si>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</si>
  <si>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</si>
  <si>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</si>
  <si>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</si>
  <si>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</si>
  <si>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</si>
  <si>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</si>
  <si>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</si>
  <si>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</si>
  <si>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</si>
  <si>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</si>
  <si>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</si>
  <si>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</si>
  <si>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</si>
  <si>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</si>
  <si>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</si>
  <si>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</si>
  <si>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</si>
  <si>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</si>
  <si>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</si>
  <si>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</si>
  <si>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</si>
  <si>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</si>
  <si>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</si>
  <si>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</si>
  <si>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</si>
  <si>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</si>
  <si>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</si>
  <si>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</si>
  <si>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</si>
  <si>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</si>
  <si>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</si>
  <si>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</si>
  <si>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</si>
  <si>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</si>
  <si>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</si>
  <si>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</si>
  <si>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</si>
  <si>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</si>
  <si>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</si>
  <si>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</si>
  <si>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</si>
  <si>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</si>
  <si>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</si>
  <si>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</si>
  <si>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</si>
  <si>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</si>
  <si>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</si>
  <si>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</si>
  <si>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</si>
  <si>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</si>
  <si>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</si>
  <si>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</si>
  <si>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</si>
  <si>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</si>
  <si>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</si>
  <si>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</si>
  <si>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</si>
  <si>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</si>
  <si>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</si>
  <si>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</si>
  <si>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</si>
  <si>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</si>
  <si>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</si>
  <si>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</si>
  <si>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</si>
  <si>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</si>
  <si>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</si>
  <si>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</si>
  <si>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</si>
  <si>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</si>
  <si>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</si>
  <si>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</si>
  <si>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</si>
  <si>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</si>
  <si>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</si>
  <si>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</si>
  <si>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</si>
  <si>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</si>
  <si>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</si>
  <si>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</si>
  <si>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</si>
  <si>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</si>
  <si>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</si>
  <si>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</si>
  <si>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</si>
  <si>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</si>
  <si>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</si>
  <si>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</si>
  <si>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</si>
  <si>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</si>
  <si>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</si>
  <si>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</si>
  <si>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</si>
  <si>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</si>
  <si>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</si>
  <si>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</si>
  <si>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</si>
  <si>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</si>
  <si>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</si>
  <si>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</si>
  <si>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</si>
  <si>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</si>
  <si>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</si>
  <si>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</si>
  <si>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</si>
  <si>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</si>
  <si>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</si>
  <si>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</si>
  <si>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</si>
  <si>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</si>
  <si>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</si>
  <si>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</si>
  <si>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</si>
  <si>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</si>
  <si>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</si>
  <si>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</si>
  <si>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</si>
  <si>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</si>
  <si>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</si>
  <si>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</si>
  <si>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</si>
  <si>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</si>
  <si>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</si>
  <si>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</si>
  <si>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</si>
  <si>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</si>
  <si>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</si>
  <si>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</si>
  <si>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</si>
  <si>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</si>
  <si>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</si>
  <si>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</si>
  <si>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</si>
  <si>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</si>
  <si>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</si>
  <si>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</si>
  <si>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</si>
  <si>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</si>
  <si>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</si>
  <si>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</si>
  <si>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</si>
  <si>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</si>
  <si>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</si>
  <si>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</si>
  <si>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</si>
  <si>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</si>
  <si>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</si>
  <si>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</si>
  <si>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</si>
  <si>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</si>
  <si>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</si>
  <si>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</si>
  <si>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</si>
  <si>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</si>
  <si>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</si>
  <si>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</si>
  <si>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</si>
  <si>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</si>
  <si>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</si>
  <si>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</si>
  <si>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</si>
  <si>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</si>
  <si>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</si>
  <si>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</si>
  <si>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</si>
  <si>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</si>
  <si>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</si>
  <si>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</si>
  <si>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</si>
  <si>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</si>
  <si>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</si>
  <si>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</si>
  <si>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</si>
  <si>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</si>
  <si>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</si>
  <si>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</si>
  <si>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</si>
  <si>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</si>
  <si>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</si>
  <si>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</si>
  <si>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</si>
  <si>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</si>
  <si>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</si>
  <si>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</si>
  <si>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</si>
  <si>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</si>
  <si>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</si>
  <si>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</si>
  <si>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</si>
  <si>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</si>
  <si>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</si>
  <si>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</si>
  <si>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</si>
  <si>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</si>
  <si>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</si>
  <si>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</si>
  <si>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</si>
  <si>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</si>
  <si>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</si>
  <si>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</si>
  <si>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</si>
  <si>
    <t>OGUNSANYA</t>
  </si>
  <si>
    <t>OLUWAFERANMI BLESSED</t>
  </si>
  <si>
    <t>OPETOSIMI GRACE</t>
  </si>
  <si>
    <t>NIP:HANNAH OLUWAJUMILO AKINDURO</t>
  </si>
  <si>
    <t>NIP:OGUNSANYA, OLUWAFUNMILAYO ABIOLA</t>
  </si>
  <si>
    <t>OGUNSANYA FAMILY</t>
  </si>
  <si>
    <t>NIP:TEMITOPE ELIZABETH ADEYEMO</t>
  </si>
  <si>
    <t>NIP:JOHN ABIODUN SAMSON</t>
  </si>
  <si>
    <t>ABIODUN DANIEL</t>
  </si>
  <si>
    <t>SANUSI FAMILY</t>
  </si>
  <si>
    <t>AKINDURO GABRIELLA</t>
  </si>
  <si>
    <t>NIP:EZEKIEL ADEDAYO OJO</t>
  </si>
  <si>
    <t>NIP:AYOBAMI KASALI</t>
  </si>
  <si>
    <t>OLABISI OLAYIWOLA</t>
  </si>
  <si>
    <t>AYODELE SANDRA</t>
  </si>
  <si>
    <t>ADENIYI HERITAGE</t>
  </si>
  <si>
    <t>ABDULAZEEZ FAMILY</t>
  </si>
  <si>
    <t>NIP:PAUL ADEDOJA</t>
  </si>
  <si>
    <t>ISLAMIAT YETUNDE TIRIMISIYU</t>
  </si>
  <si>
    <t>ADIGUN AHNAF</t>
  </si>
  <si>
    <t>NIP:FOSOM GLOBAL VENTURES-Moradeyo Prescilla Pry2</t>
  </si>
  <si>
    <t>NIP:OLUWAFEMI ADEBISI OYINLOLA</t>
  </si>
  <si>
    <t>NIP:OLABISI ADEOLA AUDU</t>
  </si>
  <si>
    <t>damilola oluwapeju samuel</t>
  </si>
  <si>
    <t>HAMMED ADEMOLA LATEEF</t>
  </si>
  <si>
    <t>HAMMED ZAINAB</t>
  </si>
  <si>
    <t>NIP:PRISCILLA NANAADJUA KOOMSON</t>
  </si>
  <si>
    <t>NIP:SAIDI ZAINAB</t>
  </si>
  <si>
    <t>NIP:SAFURAT OMOWUMI ISHOLA</t>
  </si>
  <si>
    <t>NIP:REBECCA BOLUWATIFE ADETUNJI</t>
  </si>
  <si>
    <t>NIP:OJEDIYA MERCY IMOH</t>
  </si>
  <si>
    <t>NIP:MODUPE ELIZABETH AGUNBIADE</t>
  </si>
  <si>
    <t>NIP:MARIAM WURAOLA ABIDOLA</t>
  </si>
  <si>
    <t>NIP:FAUSAT OLAMIDE ADERONMU</t>
  </si>
  <si>
    <t>NIP:ADETOLA ABOSEDE AWONIYI</t>
  </si>
  <si>
    <t>NIP:OMOTOLA ADEBUKONLA EMORDI</t>
  </si>
  <si>
    <t>OLADEJO JESUTOFUNMI</t>
  </si>
  <si>
    <t/>
  </si>
  <si>
    <t>BONUS</t>
  </si>
  <si>
    <t>ADEYEMI ADETOLA PRINCESS</t>
  </si>
  <si>
    <t>EMORDI FAMILY</t>
  </si>
  <si>
    <t>SAHEED AZEEMAH AND SALEEM</t>
  </si>
  <si>
    <t>AGUNBIADE</t>
  </si>
  <si>
    <t>CHRISTIANAH OLUWAKEMI</t>
  </si>
  <si>
    <t>JUNIOR SECONDARY SCHOOL 1</t>
  </si>
  <si>
    <t>AGUNBIADE CHRISTIANAH</t>
  </si>
  <si>
    <t>ADEDINI</t>
  </si>
  <si>
    <t>MARY OLUWATOFUNMI</t>
  </si>
  <si>
    <t>ADEDINI MARY</t>
  </si>
  <si>
    <t>NIP:TUNDE ADEGOKE OJO</t>
  </si>
  <si>
    <t>ADEDAYO FAMILY</t>
  </si>
  <si>
    <t>NIP:ASIMIYU KOLADE JOSEPH</t>
  </si>
  <si>
    <t>KOLADE JEMIMAH</t>
  </si>
  <si>
    <t>KOLADE JOSHUA</t>
  </si>
  <si>
    <t>NIP:TAYE DAVID IBITOYE</t>
  </si>
  <si>
    <t>IBITOYE FELIX</t>
  </si>
  <si>
    <t>NIP:ADEBOLA DOLAPO AZEEZ</t>
  </si>
  <si>
    <t>NIP:FATIMO OMOLABAKE ADEYEMO</t>
  </si>
  <si>
    <t>WAHAB FAIZA</t>
  </si>
  <si>
    <t>KONNEH FAMILY</t>
  </si>
  <si>
    <t>SOLAWUDEEN IMAN</t>
  </si>
  <si>
    <t>OGOOLUWADE</t>
  </si>
  <si>
    <t>JOSEPH</t>
  </si>
  <si>
    <t>MORADEYO</t>
  </si>
  <si>
    <t>PRISCILLA OLUWADARASIMI</t>
  </si>
  <si>
    <t>ISMAIL</t>
  </si>
  <si>
    <t>MABUB</t>
  </si>
  <si>
    <t>EMIOLA</t>
  </si>
  <si>
    <t>MARVELLOUS QUADRI</t>
  </si>
  <si>
    <t>OBALOLUWA MUHAMMED</t>
  </si>
  <si>
    <t>OYINLOLA</t>
  </si>
  <si>
    <t>IBUKUNOLUWA VICTOR</t>
  </si>
  <si>
    <t>ABDULSAMAD</t>
  </si>
  <si>
    <t>ADEBOWALE</t>
  </si>
  <si>
    <t>MARTIN</t>
  </si>
  <si>
    <t>MORADEYO PRISCILLA</t>
  </si>
  <si>
    <t>NIP:MEMUNAT AYOMIDE SARAFADEEN</t>
  </si>
  <si>
    <t>NIP:MFON JOSEPH AKPAN</t>
  </si>
  <si>
    <t>ADEBOWALE MARTIN</t>
  </si>
  <si>
    <t>ISAAC</t>
  </si>
  <si>
    <t>EYINJUOLUWA HERITAGE</t>
  </si>
  <si>
    <t>ISAAC HERITAGE</t>
  </si>
  <si>
    <t>NIP:ABDULAZEEZ AYOMIDE MUTAIRU</t>
  </si>
  <si>
    <t>NIP:SODIQ NAFIU OLATEJU-SODIQ NAFIU</t>
  </si>
  <si>
    <t>NIP:NURUDEEN IBRAHIM KUNLE</t>
  </si>
  <si>
    <t>NIP:EBENEZER OLALEKAN ADEBOYE</t>
  </si>
  <si>
    <t>NIP:ONI NICHOLAS OLUMUYIWA</t>
  </si>
  <si>
    <t>NIP:AYOTUNDE JOSEPH OBEY</t>
  </si>
  <si>
    <t>NIP:KARIMA YUSUF TAJUDEEN-Adeyanju Hasbullah Okikiola</t>
  </si>
  <si>
    <t>KARIMA YUSUF TAJUDEEN</t>
  </si>
  <si>
    <t>DAYO SAMUEL FEYIJIMI</t>
  </si>
  <si>
    <t>ADEYANJU HASBULLAH</t>
  </si>
  <si>
    <t>ADEBOYE FAMILY</t>
  </si>
  <si>
    <t>OBEY FAMILY</t>
  </si>
  <si>
    <t>MUTAIRU FAMILY</t>
  </si>
  <si>
    <t>SAHEED IBRAHIM AND BISOLA</t>
  </si>
  <si>
    <t>FEYIJIMI JADEN</t>
  </si>
  <si>
    <t>MORAKINYO</t>
  </si>
  <si>
    <t>TESTIMONY AYANFE</t>
  </si>
  <si>
    <t>OLADOSU</t>
  </si>
  <si>
    <t>ABDULLAHI OLUWASEYI</t>
  </si>
  <si>
    <t>AKPAN</t>
  </si>
  <si>
    <t>FRANCIS</t>
  </si>
  <si>
    <t>ONI</t>
  </si>
  <si>
    <t>AARON OLUWADEMILADE</t>
  </si>
  <si>
    <t>NIP:MOSES NOAH OLUWASEYI</t>
  </si>
  <si>
    <t>NIP:OLADOSU TOSIN ELIZABETH</t>
  </si>
  <si>
    <t>NIP:ABIOLA ADELEYE IGE</t>
  </si>
  <si>
    <t>NIP:MARY MOJISOLA OLUWALOGBON</t>
  </si>
  <si>
    <t>OLUWAFEMI FAMILY</t>
  </si>
  <si>
    <t>IGE FAMILY</t>
  </si>
  <si>
    <t>ALADESAYE VINCENT</t>
  </si>
  <si>
    <t>ONI AARON</t>
  </si>
  <si>
    <t>AKPAN FRANCIS</t>
  </si>
  <si>
    <t>MOSES HEPHZIBAH</t>
  </si>
  <si>
    <t>OFURE DIVINE EDIALE</t>
  </si>
  <si>
    <t>OSIGWE FAMILY</t>
  </si>
  <si>
    <t>NURUDEEN</t>
  </si>
  <si>
    <t>ABU-BAKIR</t>
  </si>
  <si>
    <t>NURUDEEN ABU-BAKIR</t>
  </si>
  <si>
    <t>NIP:PATRICK OBEH ONOJA</t>
  </si>
  <si>
    <t>NIP:RUTH KEMI OLADEHINDE</t>
  </si>
  <si>
    <t>NIP:TIAMIYU ADEWALE NAJEEM</t>
  </si>
  <si>
    <t>NIP:OLAKUNLE ISAAC OLADAPO</t>
  </si>
  <si>
    <t>ONOJA MIRACLE</t>
  </si>
  <si>
    <t>JOHN FAMILY</t>
  </si>
  <si>
    <t>OLUNIYI DAVID</t>
  </si>
  <si>
    <t>OLADAPO FAMILY</t>
  </si>
  <si>
    <t>TIAMIYU AISHAT</t>
  </si>
  <si>
    <t>OYINLOLA IBUKUNOLUWA</t>
  </si>
  <si>
    <t>EMIOLA FAMILY</t>
  </si>
  <si>
    <t>ISMAIL MABUB</t>
  </si>
  <si>
    <t>OLADOSU ABDULLAHI</t>
  </si>
  <si>
    <t>NIP:NOAH OLUWASEYI MOSES-Hephzibah sch fees</t>
  </si>
  <si>
    <t>NIP:PRISCILLA NANAADJUA KOOMSON-Heritage Isaac Part Sch fee</t>
  </si>
  <si>
    <t>NIP:PRISCILLA NANAADJUA KOOMSON-Morakinyo Testimony part sch fees</t>
  </si>
  <si>
    <t>NIP:TOYIN MARY OLATUNJI</t>
  </si>
  <si>
    <t>TESTIMONY MORAKINYO</t>
  </si>
  <si>
    <t>OLATUNJI FAMILY</t>
  </si>
  <si>
    <t>NIP:ANUOLUWAPO DEBORAH OLADELE-oluwashola Elizabeth and Esther</t>
  </si>
  <si>
    <t>PATIENCE DANIEL</t>
  </si>
  <si>
    <t>OLUWASHOLA FAMILY</t>
  </si>
  <si>
    <t>ISSAH IMOLE</t>
  </si>
  <si>
    <t>NIP:ODUNAYO IRETIOLUWA AKINDUN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</si>
</sst>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98"/>
  <sheetViews>
    <sheetView zoomScaleNormal="100" workbookViewId="0">
      <pane xSplit="4" ySplit="1" topLeftCell="X2" activePane="bottomRight" state="frozen"/>
      <selection activeCell="B16" sqref="B16"/>
      <selection pane="topRight" activeCell="B16" sqref="B16"/>
      <selection pane="bottomLeft" activeCell="B16" sqref="B16"/>
      <selection pane="bottomRight" activeCell="AA73" sqref="AA73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4.28515625" style="21" bestFit="1" customWidth="1"/>
    <col min="11" max="11" width="17.5703125" style="21" bestFit="1" customWidth="1"/>
    <col min="12" max="12" width="15.570312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7" width="17.5703125" style="21" bestFit="1" customWidth="1"/>
    <col min="28" max="28" width="17.5703125" style="35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 t="shared" ref="J2:J33" si="0">(1-$D2)*E2</f>
        <v>0</v>
      </c>
      <c r="K2" s="24">
        <f t="shared" ref="K2:K33" si="1">(1-$D2)*F2</f>
        <v>19500</v>
      </c>
      <c r="L2" s="24">
        <f t="shared" ref="L2:L33" si="2">G2</f>
        <v>4000</v>
      </c>
      <c r="M2" s="24">
        <f t="shared" ref="M2:M33" si="3">(1-$D2)*H2</f>
        <v>0</v>
      </c>
      <c r="N2" s="24">
        <f t="shared" ref="N2:N33" si="4"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 t="shared" ref="Z2:Z33" si="5">SUM(J2:Y2)</f>
        <v>51180</v>
      </c>
      <c r="AA2" s="24">
        <v>30000</v>
      </c>
      <c r="AB2" s="20">
        <f t="shared" ref="AB2:AB33" si="6">Z2-AA2</f>
        <v>21180</v>
      </c>
      <c r="AC2" s="24" t="str">
        <f t="shared" ref="AC2:AC33" si="7">IF(AND($T2=6000, ($T2+$W2-$AB2)&gt;=6000),T2,"")</f>
        <v/>
      </c>
      <c r="AD2" s="24" t="str">
        <f t="shared" ref="AD2:AD33" si="8">IF(AND($T2=8000, ($T2+$W2-$AB2)&gt;=8000),T2,"")</f>
        <v/>
      </c>
      <c r="AE2" s="24" t="str">
        <f t="shared" ref="AE2:AE33" si="9">IF(($T2+$W2-$AB2)&gt;=$T2+8000,W2,"")</f>
        <v/>
      </c>
      <c r="AF2" s="25" t="s">
        <v>325</v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 t="shared" si="0"/>
        <v>0</v>
      </c>
      <c r="K3" s="24">
        <f t="shared" si="1"/>
        <v>21000</v>
      </c>
      <c r="L3" s="24">
        <f t="shared" si="2"/>
        <v>4000</v>
      </c>
      <c r="M3" s="24">
        <f t="shared" si="3"/>
        <v>0</v>
      </c>
      <c r="N3" s="24">
        <f t="shared" si="4"/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 t="shared" si="5"/>
        <v>72355</v>
      </c>
      <c r="AA3" s="24">
        <v>30000</v>
      </c>
      <c r="AB3" s="20">
        <f t="shared" si="6"/>
        <v>42355</v>
      </c>
      <c r="AC3" s="24" t="str">
        <f t="shared" si="7"/>
        <v/>
      </c>
      <c r="AD3" s="24" t="str">
        <f t="shared" si="8"/>
        <v/>
      </c>
      <c r="AE3" s="24" t="str">
        <f t="shared" si="9"/>
        <v/>
      </c>
      <c r="AF3" s="25" t="s">
        <v>325</v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 t="shared" si="0"/>
        <v>0</v>
      </c>
      <c r="K4" s="24">
        <f t="shared" si="1"/>
        <v>40000</v>
      </c>
      <c r="L4" s="24">
        <f t="shared" si="2"/>
        <v>5000</v>
      </c>
      <c r="M4" s="24">
        <f t="shared" si="3"/>
        <v>2000</v>
      </c>
      <c r="N4" s="24">
        <f t="shared" si="4"/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 t="shared" si="5"/>
        <v>81210</v>
      </c>
      <c r="AA4" s="24">
        <v>0</v>
      </c>
      <c r="AB4" s="20">
        <f t="shared" si="6"/>
        <v>81210</v>
      </c>
      <c r="AC4" s="24" t="str">
        <f t="shared" si="7"/>
        <v/>
      </c>
      <c r="AD4" s="24" t="str">
        <f t="shared" si="8"/>
        <v/>
      </c>
      <c r="AE4" s="24" t="str">
        <f t="shared" si="9"/>
        <v/>
      </c>
      <c r="AF4" s="25" t="s">
        <v>325</v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 t="shared" si="0"/>
        <v>0</v>
      </c>
      <c r="K5" s="24">
        <f t="shared" si="1"/>
        <v>19500</v>
      </c>
      <c r="L5" s="24">
        <f t="shared" si="2"/>
        <v>4000</v>
      </c>
      <c r="M5" s="24">
        <f t="shared" si="3"/>
        <v>0</v>
      </c>
      <c r="N5" s="24">
        <f t="shared" si="4"/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 t="shared" si="5"/>
        <v>59160</v>
      </c>
      <c r="AA5" s="24">
        <v>0</v>
      </c>
      <c r="AB5" s="20">
        <f t="shared" si="6"/>
        <v>59160</v>
      </c>
      <c r="AC5" s="24" t="str">
        <f t="shared" si="7"/>
        <v/>
      </c>
      <c r="AD5" s="24" t="str">
        <f t="shared" si="8"/>
        <v/>
      </c>
      <c r="AE5" s="24" t="str">
        <f t="shared" si="9"/>
        <v/>
      </c>
      <c r="AF5" s="25" t="s">
        <v>325</v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 t="shared" si="0"/>
        <v>0</v>
      </c>
      <c r="K6" s="24">
        <f t="shared" si="1"/>
        <v>19500</v>
      </c>
      <c r="L6" s="24">
        <f t="shared" si="2"/>
        <v>4000</v>
      </c>
      <c r="M6" s="24">
        <f t="shared" si="3"/>
        <v>750</v>
      </c>
      <c r="N6" s="24">
        <f t="shared" si="4"/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 t="shared" si="5"/>
        <v>44280</v>
      </c>
      <c r="AA6" s="24">
        <v>0</v>
      </c>
      <c r="AB6" s="20">
        <f t="shared" si="6"/>
        <v>44280</v>
      </c>
      <c r="AC6" s="24" t="str">
        <f t="shared" si="7"/>
        <v/>
      </c>
      <c r="AD6" s="24" t="str">
        <f t="shared" si="8"/>
        <v/>
      </c>
      <c r="AE6" s="24" t="str">
        <f t="shared" si="9"/>
        <v/>
      </c>
      <c r="AF6" s="25" t="s">
        <v>325</v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0.25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 t="shared" si="0"/>
        <v>0</v>
      </c>
      <c r="K7" s="24">
        <f t="shared" si="1"/>
        <v>19500</v>
      </c>
      <c r="L7" s="24">
        <f t="shared" si="2"/>
        <v>4000</v>
      </c>
      <c r="M7" s="24">
        <f t="shared" si="3"/>
        <v>0</v>
      </c>
      <c r="N7" s="24">
        <f t="shared" si="4"/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 t="shared" si="5"/>
        <v>44430</v>
      </c>
      <c r="AA7" s="24">
        <v>20000</v>
      </c>
      <c r="AB7" s="20">
        <f t="shared" si="6"/>
        <v>24430</v>
      </c>
      <c r="AC7" s="24" t="str">
        <f t="shared" si="7"/>
        <v/>
      </c>
      <c r="AD7" s="24" t="str">
        <f t="shared" si="8"/>
        <v/>
      </c>
      <c r="AE7" s="24" t="str">
        <f t="shared" si="9"/>
        <v/>
      </c>
      <c r="AF7" s="25" t="s">
        <v>325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 t="shared" si="0"/>
        <v>0</v>
      </c>
      <c r="K8" s="24">
        <f t="shared" si="1"/>
        <v>19500</v>
      </c>
      <c r="L8" s="24">
        <f t="shared" si="2"/>
        <v>4000</v>
      </c>
      <c r="M8" s="24">
        <f t="shared" si="3"/>
        <v>750</v>
      </c>
      <c r="N8" s="24">
        <f t="shared" si="4"/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 t="shared" si="5"/>
        <v>50190</v>
      </c>
      <c r="AA8" s="24">
        <v>30000</v>
      </c>
      <c r="AB8" s="20">
        <f t="shared" si="6"/>
        <v>20190</v>
      </c>
      <c r="AC8" s="24" t="str">
        <f t="shared" si="7"/>
        <v/>
      </c>
      <c r="AD8" s="24" t="str">
        <f t="shared" si="8"/>
        <v/>
      </c>
      <c r="AE8" s="24" t="str">
        <f t="shared" si="9"/>
        <v/>
      </c>
      <c r="AF8" s="25" t="s">
        <v>325</v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 t="shared" si="0"/>
        <v>0</v>
      </c>
      <c r="K9" s="24">
        <f t="shared" si="1"/>
        <v>19500</v>
      </c>
      <c r="L9" s="24">
        <f t="shared" si="2"/>
        <v>4000</v>
      </c>
      <c r="M9" s="24">
        <f t="shared" si="3"/>
        <v>750</v>
      </c>
      <c r="N9" s="24">
        <f t="shared" si="4"/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 t="shared" si="5"/>
        <v>44280</v>
      </c>
      <c r="AA9" s="24">
        <v>20000</v>
      </c>
      <c r="AB9" s="20">
        <f t="shared" si="6"/>
        <v>24280</v>
      </c>
      <c r="AC9" s="24" t="str">
        <f t="shared" si="7"/>
        <v/>
      </c>
      <c r="AD9" s="24" t="str">
        <f t="shared" si="8"/>
        <v/>
      </c>
      <c r="AE9" s="24" t="str">
        <f t="shared" si="9"/>
        <v/>
      </c>
      <c r="AF9" s="25" t="s">
        <v>325</v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 t="shared" si="0"/>
        <v>0</v>
      </c>
      <c r="K10" s="24">
        <f t="shared" si="1"/>
        <v>21000</v>
      </c>
      <c r="L10" s="24">
        <f t="shared" si="2"/>
        <v>4000</v>
      </c>
      <c r="M10" s="24">
        <f t="shared" si="3"/>
        <v>0</v>
      </c>
      <c r="N10" s="24">
        <f t="shared" si="4"/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 t="shared" si="5"/>
        <v>69290</v>
      </c>
      <c r="AA10" s="24">
        <v>20000</v>
      </c>
      <c r="AB10" s="20">
        <f t="shared" si="6"/>
        <v>49290</v>
      </c>
      <c r="AC10" s="24" t="str">
        <f t="shared" si="7"/>
        <v/>
      </c>
      <c r="AD10" s="24" t="str">
        <f t="shared" si="8"/>
        <v/>
      </c>
      <c r="AE10" s="24" t="str">
        <f t="shared" si="9"/>
        <v/>
      </c>
      <c r="AF10" s="25" t="s">
        <v>325</v>
      </c>
    </row>
    <row r="11" spans="1:32" x14ac:dyDescent="0.25">
      <c r="A11" s="22" t="s">
        <v>361</v>
      </c>
      <c r="B11" s="22" t="s">
        <v>362</v>
      </c>
      <c r="C11" s="22" t="s">
        <v>46</v>
      </c>
      <c r="D11" s="23">
        <v>0</v>
      </c>
      <c r="E11" s="24">
        <v>2000</v>
      </c>
      <c r="F11" s="24">
        <v>28000</v>
      </c>
      <c r="G11" s="24">
        <v>4000</v>
      </c>
      <c r="H11" s="24">
        <v>2500</v>
      </c>
      <c r="I11" s="24">
        <v>5000</v>
      </c>
      <c r="J11" s="24">
        <f t="shared" si="0"/>
        <v>2000</v>
      </c>
      <c r="K11" s="24">
        <f t="shared" si="1"/>
        <v>28000</v>
      </c>
      <c r="L11" s="24">
        <f t="shared" si="2"/>
        <v>4000</v>
      </c>
      <c r="M11" s="24">
        <f t="shared" si="3"/>
        <v>2500</v>
      </c>
      <c r="N11" s="24">
        <f t="shared" si="4"/>
        <v>5000</v>
      </c>
      <c r="O11" s="24">
        <v>27310</v>
      </c>
      <c r="P11" s="24">
        <v>13230</v>
      </c>
      <c r="Q11" s="24">
        <v>16000</v>
      </c>
      <c r="R11" s="24">
        <v>8000</v>
      </c>
      <c r="S11" s="24">
        <v>7000</v>
      </c>
      <c r="T11" s="24">
        <v>6000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f t="shared" si="5"/>
        <v>119040</v>
      </c>
      <c r="AA11" s="24">
        <v>119000</v>
      </c>
      <c r="AB11" s="20">
        <f t="shared" si="6"/>
        <v>40</v>
      </c>
      <c r="AC11" s="24" t="str">
        <f t="shared" si="7"/>
        <v/>
      </c>
      <c r="AD11" s="24" t="str">
        <f t="shared" si="8"/>
        <v/>
      </c>
      <c r="AE11" s="24" t="str">
        <f t="shared" si="9"/>
        <v/>
      </c>
      <c r="AF11" s="25"/>
    </row>
    <row r="12" spans="1:32" x14ac:dyDescent="0.25">
      <c r="A12" s="22" t="s">
        <v>34</v>
      </c>
      <c r="B12" s="22" t="s">
        <v>197</v>
      </c>
      <c r="C12" s="22" t="s">
        <v>36</v>
      </c>
      <c r="D12" s="23">
        <v>0.25</v>
      </c>
      <c r="E12" s="24">
        <v>0</v>
      </c>
      <c r="F12" s="24">
        <v>33000</v>
      </c>
      <c r="G12" s="24">
        <v>5000</v>
      </c>
      <c r="H12" s="24">
        <v>2000</v>
      </c>
      <c r="I12" s="24">
        <v>6000</v>
      </c>
      <c r="J12" s="24">
        <f t="shared" si="0"/>
        <v>0</v>
      </c>
      <c r="K12" s="24">
        <f t="shared" si="1"/>
        <v>24750</v>
      </c>
      <c r="L12" s="24">
        <f t="shared" si="2"/>
        <v>5000</v>
      </c>
      <c r="M12" s="24">
        <f t="shared" si="3"/>
        <v>1500</v>
      </c>
      <c r="N12" s="24">
        <f t="shared" si="4"/>
        <v>4500</v>
      </c>
      <c r="O12" s="24">
        <v>19500</v>
      </c>
      <c r="P12" s="24">
        <v>14330</v>
      </c>
      <c r="Q12" s="24">
        <v>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750</v>
      </c>
      <c r="Z12" s="24">
        <f t="shared" si="5"/>
        <v>78330</v>
      </c>
      <c r="AA12" s="24">
        <v>25000</v>
      </c>
      <c r="AB12" s="20">
        <f t="shared" si="6"/>
        <v>53330</v>
      </c>
      <c r="AC12" s="24" t="str">
        <f t="shared" si="7"/>
        <v/>
      </c>
      <c r="AD12" s="24" t="str">
        <f t="shared" si="8"/>
        <v/>
      </c>
      <c r="AE12" s="24" t="str">
        <f t="shared" si="9"/>
        <v/>
      </c>
      <c r="AF12" s="25" t="s">
        <v>325</v>
      </c>
    </row>
    <row r="13" spans="1:32" x14ac:dyDescent="0.25">
      <c r="A13" s="22" t="s">
        <v>34</v>
      </c>
      <c r="B13" s="22" t="s">
        <v>35</v>
      </c>
      <c r="C13" s="22" t="s">
        <v>97</v>
      </c>
      <c r="D13" s="23">
        <v>0.25</v>
      </c>
      <c r="E13" s="24">
        <v>0</v>
      </c>
      <c r="F13" s="24">
        <v>40000</v>
      </c>
      <c r="G13" s="24">
        <v>5000</v>
      </c>
      <c r="H13" s="24">
        <v>2000</v>
      </c>
      <c r="I13" s="24">
        <v>8000</v>
      </c>
      <c r="J13" s="24">
        <f t="shared" si="0"/>
        <v>0</v>
      </c>
      <c r="K13" s="24">
        <f t="shared" si="1"/>
        <v>30000</v>
      </c>
      <c r="L13" s="24">
        <f t="shared" si="2"/>
        <v>5000</v>
      </c>
      <c r="M13" s="24">
        <f t="shared" si="3"/>
        <v>1500</v>
      </c>
      <c r="N13" s="24">
        <f t="shared" si="4"/>
        <v>6000</v>
      </c>
      <c r="O13" s="24">
        <v>11880</v>
      </c>
      <c r="P13" s="24">
        <v>14330</v>
      </c>
      <c r="Q13" s="24">
        <v>20000</v>
      </c>
      <c r="R13" s="24">
        <v>0</v>
      </c>
      <c r="S13" s="24">
        <v>0</v>
      </c>
      <c r="T13" s="24">
        <v>8000</v>
      </c>
      <c r="U13" s="24">
        <v>0</v>
      </c>
      <c r="V13" s="24">
        <v>0</v>
      </c>
      <c r="W13" s="24">
        <v>0</v>
      </c>
      <c r="X13" s="24">
        <v>0</v>
      </c>
      <c r="Y13" s="24">
        <v>540</v>
      </c>
      <c r="Z13" s="24">
        <f t="shared" si="5"/>
        <v>97250</v>
      </c>
      <c r="AA13" s="24">
        <v>25000</v>
      </c>
      <c r="AB13" s="20">
        <f t="shared" si="6"/>
        <v>72250</v>
      </c>
      <c r="AC13" s="24" t="str">
        <f t="shared" si="7"/>
        <v/>
      </c>
      <c r="AD13" s="24" t="str">
        <f t="shared" si="8"/>
        <v/>
      </c>
      <c r="AE13" s="24" t="str">
        <f t="shared" si="9"/>
        <v/>
      </c>
      <c r="AF13" s="25" t="s">
        <v>325</v>
      </c>
    </row>
    <row r="14" spans="1:32" x14ac:dyDescent="0.25">
      <c r="A14" s="22" t="s">
        <v>37</v>
      </c>
      <c r="B14" s="22" t="s">
        <v>38</v>
      </c>
      <c r="C14" s="22" t="s">
        <v>47</v>
      </c>
      <c r="D14" s="23">
        <v>0.5</v>
      </c>
      <c r="E14" s="24">
        <v>0</v>
      </c>
      <c r="F14" s="24">
        <v>26000</v>
      </c>
      <c r="G14" s="24">
        <v>4000</v>
      </c>
      <c r="H14" s="24">
        <v>0</v>
      </c>
      <c r="I14" s="24">
        <v>0</v>
      </c>
      <c r="J14" s="24">
        <f t="shared" si="0"/>
        <v>0</v>
      </c>
      <c r="K14" s="24">
        <f t="shared" si="1"/>
        <v>13000</v>
      </c>
      <c r="L14" s="24">
        <f t="shared" si="2"/>
        <v>4000</v>
      </c>
      <c r="M14" s="24">
        <f t="shared" si="3"/>
        <v>0</v>
      </c>
      <c r="N14" s="24">
        <f t="shared" si="4"/>
        <v>0</v>
      </c>
      <c r="O14" s="24">
        <v>24930</v>
      </c>
      <c r="P14" s="24">
        <v>10730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f t="shared" si="5"/>
        <v>52660</v>
      </c>
      <c r="AA14" s="24">
        <v>0</v>
      </c>
      <c r="AB14" s="20">
        <f t="shared" si="6"/>
        <v>52660</v>
      </c>
      <c r="AC14" s="24" t="str">
        <f t="shared" si="7"/>
        <v/>
      </c>
      <c r="AD14" s="24" t="str">
        <f t="shared" si="8"/>
        <v/>
      </c>
      <c r="AE14" s="24" t="str">
        <f t="shared" si="9"/>
        <v/>
      </c>
      <c r="AF14" s="25" t="s">
        <v>325</v>
      </c>
    </row>
    <row r="15" spans="1:32" x14ac:dyDescent="0.25">
      <c r="A15" s="22" t="s">
        <v>37</v>
      </c>
      <c r="B15" s="22" t="s">
        <v>39</v>
      </c>
      <c r="C15" s="22" t="s">
        <v>46</v>
      </c>
      <c r="D15" s="23">
        <v>0.5</v>
      </c>
      <c r="E15" s="24">
        <v>0</v>
      </c>
      <c r="F15" s="24">
        <v>28000</v>
      </c>
      <c r="G15" s="24">
        <v>4000</v>
      </c>
      <c r="H15" s="24">
        <v>0</v>
      </c>
      <c r="I15" s="24">
        <v>5000</v>
      </c>
      <c r="J15" s="24">
        <f t="shared" si="0"/>
        <v>0</v>
      </c>
      <c r="K15" s="24">
        <f t="shared" si="1"/>
        <v>14000</v>
      </c>
      <c r="L15" s="24">
        <f t="shared" si="2"/>
        <v>4000</v>
      </c>
      <c r="M15" s="24">
        <f t="shared" si="3"/>
        <v>0</v>
      </c>
      <c r="N15" s="24">
        <f t="shared" si="4"/>
        <v>2500</v>
      </c>
      <c r="O15" s="24">
        <v>27310</v>
      </c>
      <c r="P15" s="24">
        <v>13230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-530</v>
      </c>
      <c r="Z15" s="24">
        <f t="shared" si="5"/>
        <v>60510</v>
      </c>
      <c r="AA15" s="24">
        <v>0</v>
      </c>
      <c r="AB15" s="20">
        <f t="shared" si="6"/>
        <v>60510</v>
      </c>
      <c r="AC15" s="24" t="str">
        <f t="shared" si="7"/>
        <v/>
      </c>
      <c r="AD15" s="24" t="str">
        <f t="shared" si="8"/>
        <v/>
      </c>
      <c r="AE15" s="24" t="str">
        <f t="shared" si="9"/>
        <v/>
      </c>
      <c r="AF15" s="25" t="s">
        <v>325</v>
      </c>
    </row>
    <row r="16" spans="1:32" x14ac:dyDescent="0.25">
      <c r="A16" s="22" t="s">
        <v>151</v>
      </c>
      <c r="B16" s="22" t="s">
        <v>152</v>
      </c>
      <c r="C16" s="22" t="s">
        <v>49</v>
      </c>
      <c r="D16" s="23">
        <v>0.05</v>
      </c>
      <c r="E16" s="24">
        <v>0</v>
      </c>
      <c r="F16" s="24">
        <v>26000</v>
      </c>
      <c r="G16" s="24">
        <v>4000</v>
      </c>
      <c r="H16" s="24">
        <v>1000</v>
      </c>
      <c r="I16" s="24">
        <v>0</v>
      </c>
      <c r="J16" s="24">
        <f t="shared" si="0"/>
        <v>0</v>
      </c>
      <c r="K16" s="24">
        <f t="shared" si="1"/>
        <v>24700</v>
      </c>
      <c r="L16" s="24">
        <f t="shared" si="2"/>
        <v>4000</v>
      </c>
      <c r="M16" s="24">
        <f t="shared" si="3"/>
        <v>950</v>
      </c>
      <c r="N16" s="24">
        <f t="shared" si="4"/>
        <v>0</v>
      </c>
      <c r="O16" s="24">
        <v>6840</v>
      </c>
      <c r="P16" s="24">
        <v>5300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-1000</v>
      </c>
      <c r="Z16" s="24">
        <f t="shared" si="5"/>
        <v>40790</v>
      </c>
      <c r="AA16" s="24">
        <v>42140</v>
      </c>
      <c r="AB16" s="20">
        <f t="shared" si="6"/>
        <v>-1350</v>
      </c>
      <c r="AC16" s="24" t="str">
        <f t="shared" si="7"/>
        <v/>
      </c>
      <c r="AD16" s="24" t="str">
        <f t="shared" si="8"/>
        <v/>
      </c>
      <c r="AE16" s="24" t="str">
        <f t="shared" si="9"/>
        <v/>
      </c>
      <c r="AF16" s="25" t="s">
        <v>326</v>
      </c>
    </row>
    <row r="17" spans="1:32" x14ac:dyDescent="0.25">
      <c r="A17" s="22" t="s">
        <v>40</v>
      </c>
      <c r="B17" s="22" t="s">
        <v>41</v>
      </c>
      <c r="C17" s="22" t="s">
        <v>47</v>
      </c>
      <c r="D17" s="23">
        <v>0.25</v>
      </c>
      <c r="E17" s="24">
        <v>0</v>
      </c>
      <c r="F17" s="24">
        <v>26000</v>
      </c>
      <c r="G17" s="24">
        <v>4000</v>
      </c>
      <c r="H17" s="24">
        <v>0</v>
      </c>
      <c r="I17" s="24">
        <v>0</v>
      </c>
      <c r="J17" s="24">
        <f t="shared" si="0"/>
        <v>0</v>
      </c>
      <c r="K17" s="24">
        <f t="shared" si="1"/>
        <v>19500</v>
      </c>
      <c r="L17" s="24">
        <f t="shared" si="2"/>
        <v>4000</v>
      </c>
      <c r="M17" s="24">
        <f t="shared" si="3"/>
        <v>0</v>
      </c>
      <c r="N17" s="24">
        <f t="shared" si="4"/>
        <v>0</v>
      </c>
      <c r="O17" s="24">
        <v>24930</v>
      </c>
      <c r="P17" s="24">
        <v>10730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 t="shared" si="5"/>
        <v>59160</v>
      </c>
      <c r="AA17" s="24">
        <v>40000</v>
      </c>
      <c r="AB17" s="20">
        <f t="shared" si="6"/>
        <v>19160</v>
      </c>
      <c r="AC17" s="24" t="str">
        <f t="shared" si="7"/>
        <v/>
      </c>
      <c r="AD17" s="24" t="str">
        <f t="shared" si="8"/>
        <v/>
      </c>
      <c r="AE17" s="24" t="str">
        <f t="shared" si="9"/>
        <v/>
      </c>
      <c r="AF17" s="25" t="s">
        <v>325</v>
      </c>
    </row>
    <row r="18" spans="1:32" x14ac:dyDescent="0.25">
      <c r="A18" s="22" t="s">
        <v>40</v>
      </c>
      <c r="B18" s="22" t="s">
        <v>140</v>
      </c>
      <c r="C18" s="22" t="s">
        <v>46</v>
      </c>
      <c r="D18" s="23">
        <v>0.25</v>
      </c>
      <c r="E18" s="24">
        <v>0</v>
      </c>
      <c r="F18" s="24">
        <v>28000</v>
      </c>
      <c r="G18" s="24">
        <v>4000</v>
      </c>
      <c r="H18" s="24">
        <v>0</v>
      </c>
      <c r="I18" s="24">
        <v>5000</v>
      </c>
      <c r="J18" s="24">
        <f t="shared" si="0"/>
        <v>0</v>
      </c>
      <c r="K18" s="24">
        <f t="shared" si="1"/>
        <v>21000</v>
      </c>
      <c r="L18" s="24">
        <f t="shared" si="2"/>
        <v>4000</v>
      </c>
      <c r="M18" s="24">
        <f t="shared" si="3"/>
        <v>0</v>
      </c>
      <c r="N18" s="24">
        <f t="shared" si="4"/>
        <v>3750</v>
      </c>
      <c r="O18" s="24">
        <v>27310</v>
      </c>
      <c r="P18" s="24">
        <v>10740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 t="shared" si="5"/>
        <v>66800</v>
      </c>
      <c r="AA18" s="24">
        <v>40000</v>
      </c>
      <c r="AB18" s="20">
        <f t="shared" si="6"/>
        <v>26800</v>
      </c>
      <c r="AC18" s="24" t="str">
        <f t="shared" si="7"/>
        <v/>
      </c>
      <c r="AD18" s="24" t="str">
        <f t="shared" si="8"/>
        <v/>
      </c>
      <c r="AE18" s="24" t="str">
        <f t="shared" si="9"/>
        <v/>
      </c>
      <c r="AF18" s="25" t="s">
        <v>325</v>
      </c>
    </row>
    <row r="19" spans="1:32" x14ac:dyDescent="0.25">
      <c r="A19" s="22" t="s">
        <v>334</v>
      </c>
      <c r="B19" s="22" t="s">
        <v>335</v>
      </c>
      <c r="C19" s="22" t="s">
        <v>97</v>
      </c>
      <c r="D19" s="23">
        <v>0</v>
      </c>
      <c r="E19" s="24">
        <v>3000</v>
      </c>
      <c r="F19" s="24">
        <v>40000</v>
      </c>
      <c r="G19" s="24">
        <v>5000</v>
      </c>
      <c r="H19" s="24">
        <v>2000</v>
      </c>
      <c r="I19" s="24">
        <v>8000</v>
      </c>
      <c r="J19" s="24">
        <f t="shared" si="0"/>
        <v>3000</v>
      </c>
      <c r="K19" s="24">
        <f t="shared" si="1"/>
        <v>40000</v>
      </c>
      <c r="L19" s="24">
        <f t="shared" si="2"/>
        <v>5000</v>
      </c>
      <c r="M19" s="24">
        <f t="shared" si="3"/>
        <v>2000</v>
      </c>
      <c r="N19" s="24">
        <f t="shared" si="4"/>
        <v>8000</v>
      </c>
      <c r="O19" s="24">
        <v>11880</v>
      </c>
      <c r="P19" s="24">
        <v>14330</v>
      </c>
      <c r="Q19" s="24">
        <v>20000</v>
      </c>
      <c r="R19" s="24">
        <v>8000</v>
      </c>
      <c r="S19" s="24">
        <v>8000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 t="shared" si="5"/>
        <v>120210</v>
      </c>
      <c r="AA19" s="24">
        <v>120210</v>
      </c>
      <c r="AB19" s="20">
        <f t="shared" si="6"/>
        <v>0</v>
      </c>
      <c r="AC19" s="24" t="str">
        <f t="shared" si="7"/>
        <v/>
      </c>
      <c r="AD19" s="24" t="str">
        <f t="shared" si="8"/>
        <v/>
      </c>
      <c r="AE19" s="24" t="str">
        <f t="shared" si="9"/>
        <v/>
      </c>
      <c r="AF19" s="25"/>
    </row>
    <row r="20" spans="1:32" x14ac:dyDescent="0.25">
      <c r="A20" s="22" t="s">
        <v>42</v>
      </c>
      <c r="B20" s="22" t="s">
        <v>141</v>
      </c>
      <c r="C20" s="22" t="s">
        <v>30</v>
      </c>
      <c r="D20" s="23">
        <v>0.3</v>
      </c>
      <c r="E20" s="24">
        <v>0</v>
      </c>
      <c r="F20" s="24">
        <v>26000</v>
      </c>
      <c r="G20" s="24">
        <v>4000</v>
      </c>
      <c r="H20" s="24">
        <v>1000</v>
      </c>
      <c r="I20" s="24">
        <v>0</v>
      </c>
      <c r="J20" s="24">
        <f t="shared" si="0"/>
        <v>0</v>
      </c>
      <c r="K20" s="24">
        <f t="shared" si="1"/>
        <v>18200</v>
      </c>
      <c r="L20" s="24">
        <f t="shared" si="2"/>
        <v>4000</v>
      </c>
      <c r="M20" s="24">
        <f t="shared" si="3"/>
        <v>700</v>
      </c>
      <c r="N20" s="24">
        <f t="shared" si="4"/>
        <v>0</v>
      </c>
      <c r="O20" s="24">
        <v>12480</v>
      </c>
      <c r="P20" s="24">
        <v>7550</v>
      </c>
      <c r="Q20" s="24">
        <v>0</v>
      </c>
      <c r="R20" s="24">
        <v>0</v>
      </c>
      <c r="S20" s="24">
        <v>0</v>
      </c>
      <c r="T20" s="24">
        <v>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 t="shared" si="5"/>
        <v>42930</v>
      </c>
      <c r="AA20" s="24">
        <v>42930</v>
      </c>
      <c r="AB20" s="20">
        <f t="shared" si="6"/>
        <v>0</v>
      </c>
      <c r="AC20" s="24" t="str">
        <f t="shared" si="7"/>
        <v/>
      </c>
      <c r="AD20" s="24" t="str">
        <f t="shared" si="8"/>
        <v/>
      </c>
      <c r="AE20" s="24" t="str">
        <f t="shared" si="9"/>
        <v/>
      </c>
      <c r="AF20" s="25" t="s">
        <v>326</v>
      </c>
    </row>
    <row r="21" spans="1:32" x14ac:dyDescent="0.25">
      <c r="A21" s="22" t="s">
        <v>42</v>
      </c>
      <c r="B21" s="22" t="s">
        <v>43</v>
      </c>
      <c r="C21" s="22" t="s">
        <v>33</v>
      </c>
      <c r="D21" s="23">
        <v>0.3</v>
      </c>
      <c r="E21" s="24">
        <v>0</v>
      </c>
      <c r="F21" s="24">
        <v>28000</v>
      </c>
      <c r="G21" s="24">
        <v>4000</v>
      </c>
      <c r="H21" s="24">
        <v>2500</v>
      </c>
      <c r="I21" s="24">
        <v>5000</v>
      </c>
      <c r="J21" s="24">
        <f t="shared" si="0"/>
        <v>0</v>
      </c>
      <c r="K21" s="24">
        <f t="shared" si="1"/>
        <v>19600</v>
      </c>
      <c r="L21" s="24">
        <f t="shared" si="2"/>
        <v>4000</v>
      </c>
      <c r="M21" s="24">
        <f t="shared" si="3"/>
        <v>1750</v>
      </c>
      <c r="N21" s="24">
        <f t="shared" si="4"/>
        <v>3500</v>
      </c>
      <c r="O21" s="24">
        <v>25970</v>
      </c>
      <c r="P21" s="24">
        <v>11330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 t="shared" si="5"/>
        <v>72150</v>
      </c>
      <c r="AA21" s="24">
        <v>72150</v>
      </c>
      <c r="AB21" s="20">
        <f t="shared" si="6"/>
        <v>0</v>
      </c>
      <c r="AC21" s="24">
        <f t="shared" si="7"/>
        <v>6000</v>
      </c>
      <c r="AD21" s="24" t="str">
        <f t="shared" si="8"/>
        <v/>
      </c>
      <c r="AE21" s="24" t="str">
        <f t="shared" si="9"/>
        <v/>
      </c>
      <c r="AF21" s="25" t="s">
        <v>326</v>
      </c>
    </row>
    <row r="22" spans="1:32" x14ac:dyDescent="0.25">
      <c r="A22" s="22" t="s">
        <v>42</v>
      </c>
      <c r="B22" s="22" t="s">
        <v>45</v>
      </c>
      <c r="C22" s="22" t="s">
        <v>248</v>
      </c>
      <c r="D22" s="23">
        <v>0.25</v>
      </c>
      <c r="E22" s="24">
        <v>0</v>
      </c>
      <c r="F22" s="24">
        <v>28000</v>
      </c>
      <c r="G22" s="24">
        <v>4000</v>
      </c>
      <c r="H22" s="24">
        <v>0</v>
      </c>
      <c r="I22" s="24">
        <v>5000</v>
      </c>
      <c r="J22" s="24">
        <f t="shared" si="0"/>
        <v>0</v>
      </c>
      <c r="K22" s="24">
        <f t="shared" si="1"/>
        <v>21000</v>
      </c>
      <c r="L22" s="24">
        <f t="shared" si="2"/>
        <v>4000</v>
      </c>
      <c r="M22" s="24">
        <f t="shared" si="3"/>
        <v>0</v>
      </c>
      <c r="N22" s="24">
        <f t="shared" si="4"/>
        <v>3750</v>
      </c>
      <c r="O22" s="24">
        <v>28790</v>
      </c>
      <c r="P22" s="24">
        <v>13230</v>
      </c>
      <c r="Q22" s="24">
        <v>0</v>
      </c>
      <c r="R22" s="24">
        <v>0</v>
      </c>
      <c r="S22" s="24">
        <v>0</v>
      </c>
      <c r="T22" s="24">
        <v>6000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 t="shared" si="5"/>
        <v>76770</v>
      </c>
      <c r="AA22" s="24">
        <v>85535</v>
      </c>
      <c r="AB22" s="20">
        <f t="shared" si="6"/>
        <v>-8765</v>
      </c>
      <c r="AC22" s="24">
        <f t="shared" si="7"/>
        <v>6000</v>
      </c>
      <c r="AD22" s="24" t="str">
        <f t="shared" si="8"/>
        <v/>
      </c>
      <c r="AE22" s="24">
        <f t="shared" si="9"/>
        <v>0</v>
      </c>
      <c r="AF22" s="25" t="s">
        <v>325</v>
      </c>
    </row>
    <row r="23" spans="1:32" x14ac:dyDescent="0.25">
      <c r="A23" s="22" t="s">
        <v>50</v>
      </c>
      <c r="B23" s="22" t="s">
        <v>51</v>
      </c>
      <c r="C23" s="22" t="s">
        <v>67</v>
      </c>
      <c r="D23" s="23">
        <v>0.5</v>
      </c>
      <c r="E23" s="24">
        <v>0</v>
      </c>
      <c r="F23" s="24">
        <v>33000</v>
      </c>
      <c r="G23" s="24">
        <v>5000</v>
      </c>
      <c r="H23" s="24">
        <v>2000</v>
      </c>
      <c r="I23" s="24">
        <v>6000</v>
      </c>
      <c r="J23" s="24">
        <f t="shared" si="0"/>
        <v>0</v>
      </c>
      <c r="K23" s="24">
        <f t="shared" si="1"/>
        <v>16500</v>
      </c>
      <c r="L23" s="24">
        <f t="shared" si="2"/>
        <v>5000</v>
      </c>
      <c r="M23" s="24">
        <f t="shared" si="3"/>
        <v>1000</v>
      </c>
      <c r="N23" s="24">
        <f t="shared" si="4"/>
        <v>3000</v>
      </c>
      <c r="O23" s="24">
        <v>22400</v>
      </c>
      <c r="P23" s="24">
        <v>14330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 t="shared" si="5"/>
        <v>62230</v>
      </c>
      <c r="AA23" s="24">
        <v>0</v>
      </c>
      <c r="AB23" s="20">
        <f t="shared" si="6"/>
        <v>62230</v>
      </c>
      <c r="AC23" s="24" t="str">
        <f t="shared" si="7"/>
        <v/>
      </c>
      <c r="AD23" s="24" t="str">
        <f t="shared" si="8"/>
        <v/>
      </c>
      <c r="AE23" s="24" t="str">
        <f t="shared" si="9"/>
        <v/>
      </c>
      <c r="AF23" s="25" t="s">
        <v>325</v>
      </c>
    </row>
    <row r="24" spans="1:32" x14ac:dyDescent="0.25">
      <c r="A24" s="22" t="s">
        <v>53</v>
      </c>
      <c r="B24" s="22" t="s">
        <v>56</v>
      </c>
      <c r="C24" s="22" t="s">
        <v>36</v>
      </c>
      <c r="D24" s="23">
        <v>0.3</v>
      </c>
      <c r="E24" s="24">
        <v>0</v>
      </c>
      <c r="F24" s="24">
        <v>33000</v>
      </c>
      <c r="G24" s="24">
        <v>5000</v>
      </c>
      <c r="H24" s="24">
        <v>2000</v>
      </c>
      <c r="I24" s="24">
        <v>6000</v>
      </c>
      <c r="J24" s="24">
        <f t="shared" si="0"/>
        <v>0</v>
      </c>
      <c r="K24" s="24">
        <f t="shared" si="1"/>
        <v>23100</v>
      </c>
      <c r="L24" s="24">
        <f t="shared" si="2"/>
        <v>5000</v>
      </c>
      <c r="M24" s="24">
        <f t="shared" si="3"/>
        <v>1400</v>
      </c>
      <c r="N24" s="24">
        <f t="shared" si="4"/>
        <v>4200</v>
      </c>
      <c r="O24" s="24">
        <v>19500</v>
      </c>
      <c r="P24" s="24">
        <v>14330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 t="shared" si="5"/>
        <v>67530</v>
      </c>
      <c r="AA24" s="24">
        <v>0</v>
      </c>
      <c r="AB24" s="20">
        <f t="shared" si="6"/>
        <v>67530</v>
      </c>
      <c r="AC24" s="24" t="str">
        <f t="shared" si="7"/>
        <v/>
      </c>
      <c r="AD24" s="24" t="str">
        <f t="shared" si="8"/>
        <v/>
      </c>
      <c r="AE24" s="24" t="str">
        <f t="shared" si="9"/>
        <v/>
      </c>
      <c r="AF24" s="25" t="s">
        <v>325</v>
      </c>
    </row>
    <row r="25" spans="1:32" x14ac:dyDescent="0.25">
      <c r="A25" s="22" t="s">
        <v>53</v>
      </c>
      <c r="B25" s="22" t="s">
        <v>54</v>
      </c>
      <c r="C25" s="22" t="s">
        <v>48</v>
      </c>
      <c r="D25" s="23">
        <v>0.25</v>
      </c>
      <c r="E25" s="24">
        <v>0</v>
      </c>
      <c r="F25" s="24">
        <v>28000</v>
      </c>
      <c r="G25" s="24">
        <v>4000</v>
      </c>
      <c r="H25" s="24">
        <v>0</v>
      </c>
      <c r="I25" s="24">
        <v>5000</v>
      </c>
      <c r="J25" s="24">
        <f t="shared" si="0"/>
        <v>0</v>
      </c>
      <c r="K25" s="24">
        <f t="shared" si="1"/>
        <v>21000</v>
      </c>
      <c r="L25" s="24">
        <f t="shared" si="2"/>
        <v>4000</v>
      </c>
      <c r="M25" s="24">
        <f t="shared" si="3"/>
        <v>0</v>
      </c>
      <c r="N25" s="24">
        <f t="shared" si="4"/>
        <v>3750</v>
      </c>
      <c r="O25" s="24">
        <v>26150</v>
      </c>
      <c r="P25" s="24">
        <v>11330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 t="shared" si="5"/>
        <v>66230</v>
      </c>
      <c r="AA25" s="24">
        <v>0</v>
      </c>
      <c r="AB25" s="20">
        <f t="shared" si="6"/>
        <v>66230</v>
      </c>
      <c r="AC25" s="24" t="str">
        <f t="shared" si="7"/>
        <v/>
      </c>
      <c r="AD25" s="24" t="str">
        <f t="shared" si="8"/>
        <v/>
      </c>
      <c r="AE25" s="24" t="str">
        <f t="shared" si="9"/>
        <v/>
      </c>
      <c r="AF25" s="25" t="s">
        <v>325</v>
      </c>
    </row>
    <row r="26" spans="1:32" x14ac:dyDescent="0.25">
      <c r="A26" s="22" t="s">
        <v>53</v>
      </c>
      <c r="B26" s="22" t="s">
        <v>55</v>
      </c>
      <c r="C26" s="22" t="s">
        <v>48</v>
      </c>
      <c r="D26" s="23">
        <v>0.25</v>
      </c>
      <c r="E26" s="24">
        <v>0</v>
      </c>
      <c r="F26" s="24">
        <v>28000</v>
      </c>
      <c r="G26" s="24">
        <v>4000</v>
      </c>
      <c r="H26" s="24">
        <v>0</v>
      </c>
      <c r="I26" s="24">
        <v>5000</v>
      </c>
      <c r="J26" s="24">
        <f t="shared" si="0"/>
        <v>0</v>
      </c>
      <c r="K26" s="24">
        <f t="shared" si="1"/>
        <v>21000</v>
      </c>
      <c r="L26" s="24">
        <f t="shared" si="2"/>
        <v>4000</v>
      </c>
      <c r="M26" s="24">
        <f t="shared" si="3"/>
        <v>0</v>
      </c>
      <c r="N26" s="24">
        <f t="shared" si="4"/>
        <v>3750</v>
      </c>
      <c r="O26" s="24">
        <v>26150</v>
      </c>
      <c r="P26" s="24">
        <v>11330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 t="shared" si="5"/>
        <v>66230</v>
      </c>
      <c r="AA26" s="24">
        <v>0</v>
      </c>
      <c r="AB26" s="20">
        <f t="shared" si="6"/>
        <v>66230</v>
      </c>
      <c r="AC26" s="24" t="str">
        <f t="shared" si="7"/>
        <v/>
      </c>
      <c r="AD26" s="24" t="str">
        <f t="shared" si="8"/>
        <v/>
      </c>
      <c r="AE26" s="24" t="str">
        <f t="shared" si="9"/>
        <v/>
      </c>
      <c r="AF26" s="25" t="s">
        <v>325</v>
      </c>
    </row>
    <row r="27" spans="1:32" x14ac:dyDescent="0.25">
      <c r="A27" s="22" t="s">
        <v>57</v>
      </c>
      <c r="B27" s="22" t="s">
        <v>179</v>
      </c>
      <c r="C27" s="22" t="s">
        <v>36</v>
      </c>
      <c r="D27" s="23">
        <v>0</v>
      </c>
      <c r="E27" s="24">
        <v>0</v>
      </c>
      <c r="F27" s="24">
        <v>33000</v>
      </c>
      <c r="G27" s="24">
        <v>5000</v>
      </c>
      <c r="H27" s="24">
        <v>2000</v>
      </c>
      <c r="I27" s="24">
        <v>6000</v>
      </c>
      <c r="J27" s="24">
        <f t="shared" si="0"/>
        <v>0</v>
      </c>
      <c r="K27" s="24">
        <f t="shared" si="1"/>
        <v>33000</v>
      </c>
      <c r="L27" s="24">
        <f t="shared" si="2"/>
        <v>5000</v>
      </c>
      <c r="M27" s="24">
        <f t="shared" si="3"/>
        <v>2000</v>
      </c>
      <c r="N27" s="24">
        <f t="shared" si="4"/>
        <v>6000</v>
      </c>
      <c r="O27" s="24">
        <v>19500</v>
      </c>
      <c r="P27" s="24">
        <v>14330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f t="shared" si="5"/>
        <v>79830</v>
      </c>
      <c r="AA27" s="24">
        <v>60000</v>
      </c>
      <c r="AB27" s="20">
        <f t="shared" si="6"/>
        <v>19830</v>
      </c>
      <c r="AC27" s="24" t="str">
        <f t="shared" si="7"/>
        <v/>
      </c>
      <c r="AD27" s="24" t="str">
        <f t="shared" si="8"/>
        <v/>
      </c>
      <c r="AE27" s="24" t="str">
        <f t="shared" si="9"/>
        <v/>
      </c>
      <c r="AF27" s="25" t="s">
        <v>325</v>
      </c>
    </row>
    <row r="28" spans="1:32" x14ac:dyDescent="0.25">
      <c r="A28" s="22" t="s">
        <v>57</v>
      </c>
      <c r="B28" s="22" t="s">
        <v>58</v>
      </c>
      <c r="C28" s="22" t="s">
        <v>67</v>
      </c>
      <c r="D28" s="23">
        <v>0.55000000000000004</v>
      </c>
      <c r="E28" s="24">
        <v>0</v>
      </c>
      <c r="F28" s="24">
        <v>33000</v>
      </c>
      <c r="G28" s="24">
        <v>5000</v>
      </c>
      <c r="H28" s="24">
        <v>2000</v>
      </c>
      <c r="I28" s="24">
        <v>6000</v>
      </c>
      <c r="J28" s="24">
        <f t="shared" si="0"/>
        <v>0</v>
      </c>
      <c r="K28" s="24">
        <f t="shared" si="1"/>
        <v>14849.999999999998</v>
      </c>
      <c r="L28" s="24">
        <f t="shared" si="2"/>
        <v>5000</v>
      </c>
      <c r="M28" s="24">
        <f t="shared" si="3"/>
        <v>899.99999999999989</v>
      </c>
      <c r="N28" s="24">
        <f t="shared" si="4"/>
        <v>2699.9999999999995</v>
      </c>
      <c r="O28" s="24">
        <v>22400</v>
      </c>
      <c r="P28" s="24">
        <v>14330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 t="shared" si="5"/>
        <v>60180</v>
      </c>
      <c r="AA28" s="24">
        <v>62230</v>
      </c>
      <c r="AB28" s="20">
        <f t="shared" si="6"/>
        <v>-2050</v>
      </c>
      <c r="AC28" s="24" t="str">
        <f t="shared" si="7"/>
        <v/>
      </c>
      <c r="AD28" s="24" t="str">
        <f t="shared" si="8"/>
        <v/>
      </c>
      <c r="AE28" s="24" t="str">
        <f t="shared" si="9"/>
        <v/>
      </c>
      <c r="AF28" s="25" t="s">
        <v>326</v>
      </c>
    </row>
    <row r="29" spans="1:32" x14ac:dyDescent="0.25">
      <c r="A29" s="22" t="s">
        <v>57</v>
      </c>
      <c r="B29" s="22" t="s">
        <v>142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 t="shared" si="0"/>
        <v>0</v>
      </c>
      <c r="K29" s="24">
        <f t="shared" si="1"/>
        <v>26000</v>
      </c>
      <c r="L29" s="24">
        <f t="shared" si="2"/>
        <v>4000</v>
      </c>
      <c r="M29" s="24">
        <f t="shared" si="3"/>
        <v>1000</v>
      </c>
      <c r="N29" s="24">
        <f t="shared" si="4"/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6000</v>
      </c>
      <c r="U29" s="24">
        <v>0</v>
      </c>
      <c r="V29" s="24">
        <v>0</v>
      </c>
      <c r="W29" s="24">
        <v>0</v>
      </c>
      <c r="X29" s="24">
        <v>0</v>
      </c>
      <c r="Y29" s="24">
        <v>-400</v>
      </c>
      <c r="Z29" s="24">
        <f t="shared" si="5"/>
        <v>56630</v>
      </c>
      <c r="AA29" s="24">
        <v>0</v>
      </c>
      <c r="AB29" s="20">
        <f t="shared" si="6"/>
        <v>56630</v>
      </c>
      <c r="AC29" s="24" t="str">
        <f t="shared" si="7"/>
        <v/>
      </c>
      <c r="AD29" s="24" t="str">
        <f t="shared" si="8"/>
        <v/>
      </c>
      <c r="AE29" s="24" t="str">
        <f t="shared" si="9"/>
        <v/>
      </c>
      <c r="AF29" s="25" t="s">
        <v>325</v>
      </c>
    </row>
    <row r="30" spans="1:32" x14ac:dyDescent="0.25">
      <c r="A30" s="22" t="s">
        <v>203</v>
      </c>
      <c r="B30" s="22" t="s">
        <v>214</v>
      </c>
      <c r="C30" s="22" t="s">
        <v>49</v>
      </c>
      <c r="D30" s="23">
        <v>0</v>
      </c>
      <c r="E30" s="24">
        <v>0</v>
      </c>
      <c r="F30" s="24">
        <v>26000</v>
      </c>
      <c r="G30" s="24">
        <v>4000</v>
      </c>
      <c r="H30" s="24">
        <v>1000</v>
      </c>
      <c r="I30" s="24">
        <v>0</v>
      </c>
      <c r="J30" s="24">
        <f t="shared" si="0"/>
        <v>0</v>
      </c>
      <c r="K30" s="24">
        <f t="shared" si="1"/>
        <v>26000</v>
      </c>
      <c r="L30" s="24">
        <f t="shared" si="2"/>
        <v>4000</v>
      </c>
      <c r="M30" s="24">
        <f t="shared" si="3"/>
        <v>1000</v>
      </c>
      <c r="N30" s="24">
        <f t="shared" si="4"/>
        <v>0</v>
      </c>
      <c r="O30" s="24">
        <v>6840</v>
      </c>
      <c r="P30" s="24">
        <v>5300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 t="shared" si="5"/>
        <v>43140</v>
      </c>
      <c r="AA30" s="24">
        <v>43140</v>
      </c>
      <c r="AB30" s="20">
        <f t="shared" si="6"/>
        <v>0</v>
      </c>
      <c r="AC30" s="24" t="str">
        <f t="shared" si="7"/>
        <v/>
      </c>
      <c r="AD30" s="24" t="str">
        <f t="shared" si="8"/>
        <v/>
      </c>
      <c r="AE30" s="24" t="str">
        <f t="shared" si="9"/>
        <v/>
      </c>
      <c r="AF30" s="25" t="s">
        <v>325</v>
      </c>
    </row>
    <row r="31" spans="1:32" x14ac:dyDescent="0.25">
      <c r="A31" s="22" t="s">
        <v>38</v>
      </c>
      <c r="B31" s="22" t="s">
        <v>202</v>
      </c>
      <c r="C31" s="22" t="s">
        <v>30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 t="shared" si="0"/>
        <v>0</v>
      </c>
      <c r="K31" s="24">
        <f t="shared" si="1"/>
        <v>26000</v>
      </c>
      <c r="L31" s="24">
        <f t="shared" si="2"/>
        <v>4000</v>
      </c>
      <c r="M31" s="24">
        <f t="shared" si="3"/>
        <v>1000</v>
      </c>
      <c r="N31" s="24">
        <f t="shared" si="4"/>
        <v>0</v>
      </c>
      <c r="O31" s="24">
        <v>12480</v>
      </c>
      <c r="P31" s="24">
        <v>7550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11000</v>
      </c>
      <c r="Z31" s="24">
        <f t="shared" si="5"/>
        <v>62030</v>
      </c>
      <c r="AA31" s="24">
        <v>0</v>
      </c>
      <c r="AB31" s="20">
        <f t="shared" si="6"/>
        <v>62030</v>
      </c>
      <c r="AC31" s="24" t="str">
        <f t="shared" si="7"/>
        <v/>
      </c>
      <c r="AD31" s="24" t="str">
        <f t="shared" si="8"/>
        <v/>
      </c>
      <c r="AE31" s="24" t="str">
        <f t="shared" si="9"/>
        <v/>
      </c>
      <c r="AF31" s="25" t="s">
        <v>325</v>
      </c>
    </row>
    <row r="32" spans="1:32" x14ac:dyDescent="0.25">
      <c r="A32" s="22" t="s">
        <v>38</v>
      </c>
      <c r="B32" s="22" t="s">
        <v>200</v>
      </c>
      <c r="C32" s="22" t="s">
        <v>70</v>
      </c>
      <c r="D32" s="23">
        <v>0</v>
      </c>
      <c r="E32" s="24">
        <v>0</v>
      </c>
      <c r="F32" s="24">
        <v>40000</v>
      </c>
      <c r="G32" s="24">
        <v>5000</v>
      </c>
      <c r="H32" s="24">
        <v>2000</v>
      </c>
      <c r="I32" s="24">
        <v>8000</v>
      </c>
      <c r="J32" s="24">
        <f t="shared" si="0"/>
        <v>0</v>
      </c>
      <c r="K32" s="24">
        <f t="shared" si="1"/>
        <v>40000</v>
      </c>
      <c r="L32" s="24">
        <f t="shared" si="2"/>
        <v>5000</v>
      </c>
      <c r="M32" s="24">
        <f t="shared" si="3"/>
        <v>2000</v>
      </c>
      <c r="N32" s="24">
        <f t="shared" si="4"/>
        <v>8000</v>
      </c>
      <c r="O32" s="24">
        <v>11880</v>
      </c>
      <c r="P32" s="24">
        <v>14330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 t="shared" si="5"/>
        <v>81210</v>
      </c>
      <c r="AA32" s="24">
        <v>40000</v>
      </c>
      <c r="AB32" s="20">
        <f t="shared" si="6"/>
        <v>41210</v>
      </c>
      <c r="AC32" s="24" t="str">
        <f t="shared" si="7"/>
        <v/>
      </c>
      <c r="AD32" s="24" t="str">
        <f t="shared" si="8"/>
        <v/>
      </c>
      <c r="AE32" s="24" t="str">
        <f t="shared" si="9"/>
        <v/>
      </c>
      <c r="AF32" s="25" t="s">
        <v>325</v>
      </c>
    </row>
    <row r="33" spans="1:32" x14ac:dyDescent="0.25">
      <c r="A33" s="22" t="s">
        <v>188</v>
      </c>
      <c r="B33" s="22" t="s">
        <v>190</v>
      </c>
      <c r="C33" s="22" t="s">
        <v>49</v>
      </c>
      <c r="D33" s="23">
        <v>0.05</v>
      </c>
      <c r="E33" s="24">
        <v>0</v>
      </c>
      <c r="F33" s="24">
        <v>26000</v>
      </c>
      <c r="G33" s="24">
        <v>4000</v>
      </c>
      <c r="H33" s="24">
        <v>1000</v>
      </c>
      <c r="I33" s="24">
        <v>0</v>
      </c>
      <c r="J33" s="24">
        <f t="shared" si="0"/>
        <v>0</v>
      </c>
      <c r="K33" s="24">
        <f t="shared" si="1"/>
        <v>24700</v>
      </c>
      <c r="L33" s="24">
        <f t="shared" si="2"/>
        <v>4000</v>
      </c>
      <c r="M33" s="24">
        <f t="shared" si="3"/>
        <v>950</v>
      </c>
      <c r="N33" s="24">
        <f t="shared" si="4"/>
        <v>0</v>
      </c>
      <c r="O33" s="24">
        <v>6840</v>
      </c>
      <c r="P33" s="24">
        <v>5300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 t="shared" si="5"/>
        <v>41790</v>
      </c>
      <c r="AA33" s="24">
        <v>43140</v>
      </c>
      <c r="AB33" s="20">
        <f t="shared" si="6"/>
        <v>-1350</v>
      </c>
      <c r="AC33" s="24" t="str">
        <f t="shared" si="7"/>
        <v/>
      </c>
      <c r="AD33" s="24" t="str">
        <f t="shared" si="8"/>
        <v/>
      </c>
      <c r="AE33" s="24" t="str">
        <f t="shared" si="9"/>
        <v/>
      </c>
      <c r="AF33" s="25" t="s">
        <v>326</v>
      </c>
    </row>
    <row r="34" spans="1:32" x14ac:dyDescent="0.25">
      <c r="A34" s="22" t="s">
        <v>330</v>
      </c>
      <c r="B34" s="22" t="s">
        <v>331</v>
      </c>
      <c r="C34" s="22" t="s">
        <v>332</v>
      </c>
      <c r="D34" s="23">
        <v>0</v>
      </c>
      <c r="E34" s="24">
        <v>3000</v>
      </c>
      <c r="F34" s="24">
        <v>33000</v>
      </c>
      <c r="G34" s="24">
        <v>5000</v>
      </c>
      <c r="H34" s="24">
        <v>2000</v>
      </c>
      <c r="I34" s="24">
        <v>6000</v>
      </c>
      <c r="J34" s="24">
        <f t="shared" ref="J34:J65" si="10">(1-$D34)*E34</f>
        <v>3000</v>
      </c>
      <c r="K34" s="24">
        <f t="shared" ref="K34:K65" si="11">(1-$D34)*F34</f>
        <v>33000</v>
      </c>
      <c r="L34" s="24">
        <f t="shared" ref="L34:L65" si="12">G34</f>
        <v>5000</v>
      </c>
      <c r="M34" s="24">
        <f t="shared" ref="M34:M65" si="13">(1-$D34)*H34</f>
        <v>2000</v>
      </c>
      <c r="N34" s="24">
        <f t="shared" ref="N34:N65" si="14">(1-$D34)*I34</f>
        <v>6000</v>
      </c>
      <c r="O34" s="24">
        <v>19320</v>
      </c>
      <c r="P34" s="24">
        <v>16190</v>
      </c>
      <c r="Q34" s="24">
        <v>12000</v>
      </c>
      <c r="R34" s="24">
        <v>8000</v>
      </c>
      <c r="S34" s="24">
        <v>8000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 t="shared" ref="Z34:Z65" si="15">SUM(J34:Y34)</f>
        <v>112510</v>
      </c>
      <c r="AA34" s="24">
        <v>60000</v>
      </c>
      <c r="AB34" s="20">
        <f t="shared" ref="AB34:AB65" si="16">Z34-AA34</f>
        <v>52510</v>
      </c>
      <c r="AC34" s="24" t="str">
        <f t="shared" ref="AC34:AC54" si="17">IF(AND($T34=6000, ($T34+$W34-$AB34)&gt;=6000),T34,"")</f>
        <v/>
      </c>
      <c r="AD34" s="24" t="str">
        <f t="shared" ref="AD34:AD54" si="18">IF(AND($T34=8000, ($T34+$W34-$AB34)&gt;=8000),T34,"")</f>
        <v/>
      </c>
      <c r="AE34" s="24" t="str">
        <f t="shared" ref="AE34:AE54" si="19">IF(($T34+$W34-$AB34)&gt;=$T34+8000,W34,"")</f>
        <v/>
      </c>
      <c r="AF34" s="25"/>
    </row>
    <row r="35" spans="1:32" x14ac:dyDescent="0.25">
      <c r="A35" s="22" t="s">
        <v>143</v>
      </c>
      <c r="B35" s="22" t="s">
        <v>240</v>
      </c>
      <c r="C35" s="22" t="s">
        <v>252</v>
      </c>
      <c r="D35" s="23">
        <v>0.25</v>
      </c>
      <c r="E35" s="24">
        <v>0</v>
      </c>
      <c r="F35" s="24">
        <v>26000</v>
      </c>
      <c r="G35" s="24">
        <v>2000</v>
      </c>
      <c r="H35" s="24">
        <v>0</v>
      </c>
      <c r="I35" s="24">
        <v>0</v>
      </c>
      <c r="J35" s="24">
        <f t="shared" si="10"/>
        <v>0</v>
      </c>
      <c r="K35" s="24">
        <f t="shared" si="11"/>
        <v>19500</v>
      </c>
      <c r="L35" s="24">
        <f t="shared" si="12"/>
        <v>2000</v>
      </c>
      <c r="M35" s="24">
        <f t="shared" si="13"/>
        <v>0</v>
      </c>
      <c r="N35" s="24">
        <f t="shared" si="14"/>
        <v>0</v>
      </c>
      <c r="O35" s="24">
        <v>0</v>
      </c>
      <c r="P35" s="24">
        <v>3050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 t="shared" si="15"/>
        <v>24550</v>
      </c>
      <c r="AA35" s="24">
        <v>1300</v>
      </c>
      <c r="AB35" s="20">
        <f t="shared" si="16"/>
        <v>23250</v>
      </c>
      <c r="AC35" s="24" t="str">
        <f t="shared" si="17"/>
        <v/>
      </c>
      <c r="AD35" s="24" t="str">
        <f t="shared" si="18"/>
        <v/>
      </c>
      <c r="AE35" s="24" t="str">
        <f t="shared" si="19"/>
        <v/>
      </c>
      <c r="AF35" s="25" t="s">
        <v>325</v>
      </c>
    </row>
    <row r="36" spans="1:32" x14ac:dyDescent="0.25">
      <c r="A36" s="22" t="s">
        <v>143</v>
      </c>
      <c r="B36" s="22" t="s">
        <v>144</v>
      </c>
      <c r="C36" s="22" t="s">
        <v>44</v>
      </c>
      <c r="D36" s="23">
        <v>0.3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 t="shared" si="10"/>
        <v>0</v>
      </c>
      <c r="K36" s="24">
        <f t="shared" si="11"/>
        <v>18200</v>
      </c>
      <c r="L36" s="24">
        <f t="shared" si="12"/>
        <v>4000</v>
      </c>
      <c r="M36" s="24">
        <f t="shared" si="13"/>
        <v>0</v>
      </c>
      <c r="N36" s="24">
        <f t="shared" si="14"/>
        <v>0</v>
      </c>
      <c r="O36" s="24">
        <v>13380</v>
      </c>
      <c r="P36" s="24">
        <v>7550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 t="shared" si="15"/>
        <v>49130</v>
      </c>
      <c r="AA36" s="24">
        <v>49130</v>
      </c>
      <c r="AB36" s="20">
        <f t="shared" si="16"/>
        <v>0</v>
      </c>
      <c r="AC36" s="24">
        <f t="shared" si="17"/>
        <v>6000</v>
      </c>
      <c r="AD36" s="24" t="str">
        <f t="shared" si="18"/>
        <v/>
      </c>
      <c r="AE36" s="24" t="str">
        <f t="shared" si="19"/>
        <v/>
      </c>
      <c r="AF36" s="25" t="s">
        <v>326</v>
      </c>
    </row>
    <row r="37" spans="1:32" x14ac:dyDescent="0.25">
      <c r="A37" s="22" t="s">
        <v>60</v>
      </c>
      <c r="B37" s="22" t="s">
        <v>62</v>
      </c>
      <c r="C37" s="22" t="s">
        <v>47</v>
      </c>
      <c r="D37" s="23">
        <v>0.25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 t="shared" si="10"/>
        <v>0</v>
      </c>
      <c r="K37" s="24">
        <f t="shared" si="11"/>
        <v>19500</v>
      </c>
      <c r="L37" s="24">
        <f t="shared" si="12"/>
        <v>4000</v>
      </c>
      <c r="M37" s="24">
        <f t="shared" si="13"/>
        <v>0</v>
      </c>
      <c r="N37" s="24">
        <f t="shared" si="14"/>
        <v>0</v>
      </c>
      <c r="O37" s="24">
        <v>24930</v>
      </c>
      <c r="P37" s="24">
        <v>10730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 t="shared" si="15"/>
        <v>65160</v>
      </c>
      <c r="AA37" s="24">
        <v>0</v>
      </c>
      <c r="AB37" s="20">
        <f t="shared" si="16"/>
        <v>65160</v>
      </c>
      <c r="AC37" s="24" t="str">
        <f t="shared" si="17"/>
        <v/>
      </c>
      <c r="AD37" s="24" t="str">
        <f t="shared" si="18"/>
        <v/>
      </c>
      <c r="AE37" s="24" t="str">
        <f t="shared" si="19"/>
        <v/>
      </c>
      <c r="AF37" s="25" t="s">
        <v>325</v>
      </c>
    </row>
    <row r="38" spans="1:32" x14ac:dyDescent="0.25">
      <c r="A38" s="22" t="s">
        <v>60</v>
      </c>
      <c r="B38" s="22" t="s">
        <v>61</v>
      </c>
      <c r="C38" s="22" t="s">
        <v>48</v>
      </c>
      <c r="D38" s="23">
        <v>0.25</v>
      </c>
      <c r="E38" s="24">
        <v>0</v>
      </c>
      <c r="F38" s="24">
        <v>28000</v>
      </c>
      <c r="G38" s="24">
        <v>4000</v>
      </c>
      <c r="H38" s="24">
        <v>0</v>
      </c>
      <c r="I38" s="24">
        <v>5000</v>
      </c>
      <c r="J38" s="24">
        <f t="shared" si="10"/>
        <v>0</v>
      </c>
      <c r="K38" s="24">
        <f t="shared" si="11"/>
        <v>21000</v>
      </c>
      <c r="L38" s="24">
        <f t="shared" si="12"/>
        <v>4000</v>
      </c>
      <c r="M38" s="24">
        <f t="shared" si="13"/>
        <v>0</v>
      </c>
      <c r="N38" s="24">
        <f t="shared" si="14"/>
        <v>3750</v>
      </c>
      <c r="O38" s="24">
        <v>26150</v>
      </c>
      <c r="P38" s="24">
        <v>11330</v>
      </c>
      <c r="Q38" s="24">
        <v>0</v>
      </c>
      <c r="R38" s="24">
        <v>0</v>
      </c>
      <c r="S38" s="24">
        <v>0</v>
      </c>
      <c r="T38" s="24">
        <v>6000</v>
      </c>
      <c r="U38" s="24">
        <v>0</v>
      </c>
      <c r="V38" s="24">
        <v>0</v>
      </c>
      <c r="W38" s="24">
        <v>0</v>
      </c>
      <c r="X38" s="24">
        <v>0</v>
      </c>
      <c r="Y38" s="24">
        <v>250</v>
      </c>
      <c r="Z38" s="24">
        <f t="shared" si="15"/>
        <v>72480</v>
      </c>
      <c r="AA38" s="24">
        <v>0</v>
      </c>
      <c r="AB38" s="20">
        <f t="shared" si="16"/>
        <v>72480</v>
      </c>
      <c r="AC38" s="24" t="str">
        <f t="shared" si="17"/>
        <v/>
      </c>
      <c r="AD38" s="24" t="str">
        <f t="shared" si="18"/>
        <v/>
      </c>
      <c r="AE38" s="24" t="str">
        <f t="shared" si="19"/>
        <v/>
      </c>
      <c r="AF38" s="25" t="s">
        <v>325</v>
      </c>
    </row>
    <row r="39" spans="1:32" x14ac:dyDescent="0.25">
      <c r="A39" s="22" t="s">
        <v>187</v>
      </c>
      <c r="B39" s="22" t="s">
        <v>201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 t="shared" si="10"/>
        <v>0</v>
      </c>
      <c r="K39" s="24">
        <f t="shared" si="11"/>
        <v>26000</v>
      </c>
      <c r="L39" s="24">
        <f t="shared" si="12"/>
        <v>4000</v>
      </c>
      <c r="M39" s="24">
        <f t="shared" si="13"/>
        <v>1000</v>
      </c>
      <c r="N39" s="24">
        <f t="shared" si="14"/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 t="shared" si="15"/>
        <v>43140</v>
      </c>
      <c r="AA39" s="24">
        <v>43140</v>
      </c>
      <c r="AB39" s="20">
        <f t="shared" si="16"/>
        <v>0</v>
      </c>
      <c r="AC39" s="24" t="str">
        <f t="shared" si="17"/>
        <v/>
      </c>
      <c r="AD39" s="24" t="str">
        <f t="shared" si="18"/>
        <v/>
      </c>
      <c r="AE39" s="24" t="str">
        <f t="shared" si="19"/>
        <v/>
      </c>
      <c r="AF39" s="25" t="s">
        <v>325</v>
      </c>
    </row>
    <row r="40" spans="1:32" x14ac:dyDescent="0.25">
      <c r="A40" s="22" t="s">
        <v>63</v>
      </c>
      <c r="B40" s="22" t="s">
        <v>54</v>
      </c>
      <c r="C40" s="22" t="s">
        <v>44</v>
      </c>
      <c r="D40" s="23">
        <v>0</v>
      </c>
      <c r="E40" s="24">
        <v>0</v>
      </c>
      <c r="F40" s="24">
        <v>26000</v>
      </c>
      <c r="G40" s="24">
        <v>4000</v>
      </c>
      <c r="H40" s="24">
        <v>0</v>
      </c>
      <c r="I40" s="24">
        <v>0</v>
      </c>
      <c r="J40" s="24">
        <f t="shared" si="10"/>
        <v>0</v>
      </c>
      <c r="K40" s="24">
        <f t="shared" si="11"/>
        <v>26000</v>
      </c>
      <c r="L40" s="24">
        <f t="shared" si="12"/>
        <v>4000</v>
      </c>
      <c r="M40" s="24">
        <f t="shared" si="13"/>
        <v>0</v>
      </c>
      <c r="N40" s="24">
        <f t="shared" si="14"/>
        <v>0</v>
      </c>
      <c r="O40" s="24">
        <v>13380</v>
      </c>
      <c r="P40" s="24">
        <v>7550</v>
      </c>
      <c r="Q40" s="24">
        <v>0</v>
      </c>
      <c r="R40" s="24">
        <v>0</v>
      </c>
      <c r="S40" s="24">
        <v>0</v>
      </c>
      <c r="T40" s="24">
        <v>6000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 t="shared" si="15"/>
        <v>56930</v>
      </c>
      <c r="AA40" s="24">
        <v>0</v>
      </c>
      <c r="AB40" s="20">
        <f t="shared" si="16"/>
        <v>56930</v>
      </c>
      <c r="AC40" s="24" t="str">
        <f t="shared" si="17"/>
        <v/>
      </c>
      <c r="AD40" s="24" t="str">
        <f t="shared" si="18"/>
        <v/>
      </c>
      <c r="AE40" s="24" t="str">
        <f t="shared" si="19"/>
        <v/>
      </c>
      <c r="AF40" s="25" t="s">
        <v>325</v>
      </c>
    </row>
    <row r="41" spans="1:32" x14ac:dyDescent="0.25">
      <c r="A41" s="22" t="s">
        <v>389</v>
      </c>
      <c r="B41" s="22" t="s">
        <v>390</v>
      </c>
      <c r="C41" s="22" t="s">
        <v>44</v>
      </c>
      <c r="D41" s="23">
        <v>0</v>
      </c>
      <c r="E41" s="24">
        <v>2000</v>
      </c>
      <c r="F41" s="24">
        <v>26000</v>
      </c>
      <c r="G41" s="24">
        <v>4000</v>
      </c>
      <c r="H41" s="24">
        <v>1000</v>
      </c>
      <c r="I41" s="24">
        <v>0</v>
      </c>
      <c r="J41" s="24">
        <f t="shared" si="10"/>
        <v>2000</v>
      </c>
      <c r="K41" s="24">
        <f t="shared" si="11"/>
        <v>26000</v>
      </c>
      <c r="L41" s="24">
        <f t="shared" si="12"/>
        <v>4000</v>
      </c>
      <c r="M41" s="24">
        <f t="shared" si="13"/>
        <v>1000</v>
      </c>
      <c r="N41" s="24">
        <f t="shared" si="14"/>
        <v>0</v>
      </c>
      <c r="O41" s="24">
        <v>13380</v>
      </c>
      <c r="P41" s="24">
        <v>7550</v>
      </c>
      <c r="Q41" s="24">
        <v>16000</v>
      </c>
      <c r="R41" s="24">
        <v>8000</v>
      </c>
      <c r="S41" s="24">
        <v>7000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 t="shared" si="15"/>
        <v>84930</v>
      </c>
      <c r="AA41" s="24">
        <v>50000</v>
      </c>
      <c r="AB41" s="20">
        <f t="shared" si="16"/>
        <v>34930</v>
      </c>
      <c r="AC41" s="24" t="str">
        <f t="shared" si="17"/>
        <v/>
      </c>
      <c r="AD41" s="24" t="str">
        <f t="shared" si="18"/>
        <v/>
      </c>
      <c r="AE41" s="24" t="str">
        <f t="shared" si="19"/>
        <v/>
      </c>
      <c r="AF41" s="24"/>
    </row>
    <row r="42" spans="1:32" x14ac:dyDescent="0.25">
      <c r="A42" s="22" t="s">
        <v>241</v>
      </c>
      <c r="B42" s="22" t="s">
        <v>50</v>
      </c>
      <c r="C42" s="22" t="s">
        <v>252</v>
      </c>
      <c r="D42" s="23">
        <v>0</v>
      </c>
      <c r="E42" s="24">
        <v>0</v>
      </c>
      <c r="F42" s="24">
        <v>26000</v>
      </c>
      <c r="G42" s="24">
        <v>2000</v>
      </c>
      <c r="H42" s="24">
        <v>0</v>
      </c>
      <c r="I42" s="24">
        <v>0</v>
      </c>
      <c r="J42" s="24">
        <f t="shared" si="10"/>
        <v>0</v>
      </c>
      <c r="K42" s="24">
        <f t="shared" si="11"/>
        <v>26000</v>
      </c>
      <c r="L42" s="24">
        <f t="shared" si="12"/>
        <v>2000</v>
      </c>
      <c r="M42" s="24">
        <f t="shared" si="13"/>
        <v>0</v>
      </c>
      <c r="N42" s="24">
        <f t="shared" si="14"/>
        <v>0</v>
      </c>
      <c r="O42" s="24">
        <v>0</v>
      </c>
      <c r="P42" s="24">
        <v>3050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f t="shared" si="15"/>
        <v>31050</v>
      </c>
      <c r="AA42" s="24">
        <v>0</v>
      </c>
      <c r="AB42" s="20">
        <f t="shared" si="16"/>
        <v>31050</v>
      </c>
      <c r="AC42" s="24" t="str">
        <f t="shared" si="17"/>
        <v/>
      </c>
      <c r="AD42" s="24" t="str">
        <f t="shared" si="18"/>
        <v/>
      </c>
      <c r="AE42" s="24" t="str">
        <f t="shared" si="19"/>
        <v/>
      </c>
      <c r="AF42" s="25" t="s">
        <v>325</v>
      </c>
    </row>
    <row r="43" spans="1:32" x14ac:dyDescent="0.25">
      <c r="A43" s="22" t="s">
        <v>173</v>
      </c>
      <c r="B43" s="22" t="s">
        <v>174</v>
      </c>
      <c r="C43" s="22" t="s">
        <v>49</v>
      </c>
      <c r="D43" s="23">
        <v>0</v>
      </c>
      <c r="E43" s="24">
        <v>0</v>
      </c>
      <c r="F43" s="24">
        <v>26000</v>
      </c>
      <c r="G43" s="24">
        <v>4000</v>
      </c>
      <c r="H43" s="24">
        <v>1000</v>
      </c>
      <c r="I43" s="24">
        <v>0</v>
      </c>
      <c r="J43" s="24">
        <f t="shared" si="10"/>
        <v>0</v>
      </c>
      <c r="K43" s="24">
        <f t="shared" si="11"/>
        <v>26000</v>
      </c>
      <c r="L43" s="24">
        <f t="shared" si="12"/>
        <v>4000</v>
      </c>
      <c r="M43" s="24">
        <f t="shared" si="13"/>
        <v>1000</v>
      </c>
      <c r="N43" s="24">
        <f t="shared" si="14"/>
        <v>0</v>
      </c>
      <c r="O43" s="24">
        <v>6840</v>
      </c>
      <c r="P43" s="24">
        <v>5300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f t="shared" si="15"/>
        <v>43140</v>
      </c>
      <c r="AA43" s="24">
        <v>30000</v>
      </c>
      <c r="AB43" s="20">
        <f t="shared" si="16"/>
        <v>13140</v>
      </c>
      <c r="AC43" s="24" t="str">
        <f t="shared" si="17"/>
        <v/>
      </c>
      <c r="AD43" s="24" t="str">
        <f t="shared" si="18"/>
        <v/>
      </c>
      <c r="AE43" s="24" t="str">
        <f t="shared" si="19"/>
        <v/>
      </c>
      <c r="AF43" s="25" t="s">
        <v>325</v>
      </c>
    </row>
    <row r="44" spans="1:32" x14ac:dyDescent="0.25">
      <c r="A44" s="22" t="s">
        <v>65</v>
      </c>
      <c r="B44" s="22" t="s">
        <v>66</v>
      </c>
      <c r="C44" s="22" t="s">
        <v>67</v>
      </c>
      <c r="D44" s="23">
        <v>0.5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 t="shared" si="10"/>
        <v>0</v>
      </c>
      <c r="K44" s="24">
        <f t="shared" si="11"/>
        <v>16500</v>
      </c>
      <c r="L44" s="24">
        <f t="shared" si="12"/>
        <v>5000</v>
      </c>
      <c r="M44" s="24">
        <f t="shared" si="13"/>
        <v>1000</v>
      </c>
      <c r="N44" s="24">
        <f t="shared" si="14"/>
        <v>3000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8000</v>
      </c>
      <c r="U44" s="24">
        <v>0</v>
      </c>
      <c r="V44" s="24">
        <v>0</v>
      </c>
      <c r="W44" s="24">
        <v>0</v>
      </c>
      <c r="X44" s="24">
        <v>0</v>
      </c>
      <c r="Y44" s="24">
        <v>-30</v>
      </c>
      <c r="Z44" s="24">
        <f t="shared" si="15"/>
        <v>70200</v>
      </c>
      <c r="AA44" s="24">
        <v>0</v>
      </c>
      <c r="AB44" s="20">
        <f t="shared" si="16"/>
        <v>70200</v>
      </c>
      <c r="AC44" s="24" t="str">
        <f t="shared" si="17"/>
        <v/>
      </c>
      <c r="AD44" s="24" t="str">
        <f t="shared" si="18"/>
        <v/>
      </c>
      <c r="AE44" s="24" t="str">
        <f t="shared" si="19"/>
        <v/>
      </c>
      <c r="AF44" s="25" t="s">
        <v>325</v>
      </c>
    </row>
    <row r="45" spans="1:32" x14ac:dyDescent="0.25">
      <c r="A45" s="22" t="s">
        <v>68</v>
      </c>
      <c r="B45" s="22" t="s">
        <v>69</v>
      </c>
      <c r="C45" s="22" t="s">
        <v>67</v>
      </c>
      <c r="D45" s="23">
        <v>0</v>
      </c>
      <c r="E45" s="24">
        <v>0</v>
      </c>
      <c r="F45" s="24">
        <v>33000</v>
      </c>
      <c r="G45" s="24">
        <v>5000</v>
      </c>
      <c r="H45" s="24">
        <v>2000</v>
      </c>
      <c r="I45" s="24">
        <v>6000</v>
      </c>
      <c r="J45" s="24">
        <f t="shared" si="10"/>
        <v>0</v>
      </c>
      <c r="K45" s="24">
        <f t="shared" si="11"/>
        <v>33000</v>
      </c>
      <c r="L45" s="24">
        <f t="shared" si="12"/>
        <v>5000</v>
      </c>
      <c r="M45" s="24">
        <f t="shared" si="13"/>
        <v>2000</v>
      </c>
      <c r="N45" s="24">
        <f t="shared" si="14"/>
        <v>6000</v>
      </c>
      <c r="O45" s="24">
        <v>22400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-8970</v>
      </c>
      <c r="Z45" s="24">
        <f t="shared" si="15"/>
        <v>73760</v>
      </c>
      <c r="AA45" s="24">
        <v>0</v>
      </c>
      <c r="AB45" s="20">
        <f t="shared" si="16"/>
        <v>73760</v>
      </c>
      <c r="AC45" s="24" t="str">
        <f t="shared" si="17"/>
        <v/>
      </c>
      <c r="AD45" s="24" t="str">
        <f t="shared" si="18"/>
        <v/>
      </c>
      <c r="AE45" s="24" t="str">
        <f t="shared" si="19"/>
        <v/>
      </c>
      <c r="AF45" s="25" t="s">
        <v>325</v>
      </c>
    </row>
    <row r="46" spans="1:32" x14ac:dyDescent="0.25">
      <c r="A46" s="22" t="s">
        <v>71</v>
      </c>
      <c r="B46" s="22" t="s">
        <v>72</v>
      </c>
      <c r="C46" s="22" t="s">
        <v>70</v>
      </c>
      <c r="D46" s="23">
        <v>0</v>
      </c>
      <c r="E46" s="24">
        <v>0</v>
      </c>
      <c r="F46" s="24">
        <v>40000</v>
      </c>
      <c r="G46" s="24">
        <v>5000</v>
      </c>
      <c r="H46" s="24">
        <v>2000</v>
      </c>
      <c r="I46" s="24">
        <v>8000</v>
      </c>
      <c r="J46" s="24">
        <f t="shared" si="10"/>
        <v>0</v>
      </c>
      <c r="K46" s="24">
        <f t="shared" si="11"/>
        <v>40000</v>
      </c>
      <c r="L46" s="24">
        <f t="shared" si="12"/>
        <v>5000</v>
      </c>
      <c r="M46" s="24">
        <f t="shared" si="13"/>
        <v>2000</v>
      </c>
      <c r="N46" s="24">
        <f t="shared" si="14"/>
        <v>8000</v>
      </c>
      <c r="O46" s="24">
        <v>11880</v>
      </c>
      <c r="P46" s="24">
        <v>14330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120</v>
      </c>
      <c r="Z46" s="24">
        <f t="shared" si="15"/>
        <v>81330</v>
      </c>
      <c r="AA46" s="24">
        <v>50000</v>
      </c>
      <c r="AB46" s="20">
        <f t="shared" si="16"/>
        <v>31330</v>
      </c>
      <c r="AC46" s="24" t="str">
        <f t="shared" si="17"/>
        <v/>
      </c>
      <c r="AD46" s="24" t="str">
        <f t="shared" si="18"/>
        <v/>
      </c>
      <c r="AE46" s="24" t="str">
        <f t="shared" si="19"/>
        <v/>
      </c>
      <c r="AF46" s="25" t="s">
        <v>325</v>
      </c>
    </row>
    <row r="47" spans="1:32" x14ac:dyDescent="0.25">
      <c r="A47" s="22" t="s">
        <v>74</v>
      </c>
      <c r="B47" s="22" t="s">
        <v>75</v>
      </c>
      <c r="C47" s="22" t="s">
        <v>67</v>
      </c>
      <c r="D47" s="23">
        <v>0.5</v>
      </c>
      <c r="E47" s="24">
        <v>0</v>
      </c>
      <c r="F47" s="24">
        <v>33000</v>
      </c>
      <c r="G47" s="24">
        <v>5000</v>
      </c>
      <c r="H47" s="24">
        <v>2000</v>
      </c>
      <c r="I47" s="24">
        <v>6000</v>
      </c>
      <c r="J47" s="24">
        <f t="shared" si="10"/>
        <v>0</v>
      </c>
      <c r="K47" s="24">
        <f t="shared" si="11"/>
        <v>16500</v>
      </c>
      <c r="L47" s="24">
        <f t="shared" si="12"/>
        <v>5000</v>
      </c>
      <c r="M47" s="24">
        <f t="shared" si="13"/>
        <v>1000</v>
      </c>
      <c r="N47" s="24">
        <f t="shared" si="14"/>
        <v>3000</v>
      </c>
      <c r="O47" s="24">
        <v>22400</v>
      </c>
      <c r="P47" s="24">
        <v>14330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480</v>
      </c>
      <c r="Z47" s="24">
        <f t="shared" si="15"/>
        <v>62710</v>
      </c>
      <c r="AA47" s="24">
        <v>0</v>
      </c>
      <c r="AB47" s="20">
        <f t="shared" si="16"/>
        <v>62710</v>
      </c>
      <c r="AC47" s="24" t="str">
        <f t="shared" si="17"/>
        <v/>
      </c>
      <c r="AD47" s="24" t="str">
        <f t="shared" si="18"/>
        <v/>
      </c>
      <c r="AE47" s="24" t="str">
        <f t="shared" si="19"/>
        <v/>
      </c>
      <c r="AF47" s="25" t="s">
        <v>325</v>
      </c>
    </row>
    <row r="48" spans="1:32" x14ac:dyDescent="0.25">
      <c r="A48" s="22" t="s">
        <v>191</v>
      </c>
      <c r="B48" s="22" t="s">
        <v>199</v>
      </c>
      <c r="C48" s="22" t="s">
        <v>67</v>
      </c>
      <c r="D48" s="23">
        <v>0.25</v>
      </c>
      <c r="E48" s="24">
        <v>0</v>
      </c>
      <c r="F48" s="24">
        <v>33000</v>
      </c>
      <c r="G48" s="24">
        <v>5000</v>
      </c>
      <c r="H48" s="24">
        <v>2000</v>
      </c>
      <c r="I48" s="24">
        <v>6000</v>
      </c>
      <c r="J48" s="24">
        <f t="shared" si="10"/>
        <v>0</v>
      </c>
      <c r="K48" s="24">
        <f t="shared" si="11"/>
        <v>24750</v>
      </c>
      <c r="L48" s="24">
        <f t="shared" si="12"/>
        <v>5000</v>
      </c>
      <c r="M48" s="24">
        <f t="shared" si="13"/>
        <v>1500</v>
      </c>
      <c r="N48" s="24">
        <f t="shared" si="14"/>
        <v>4500</v>
      </c>
      <c r="O48" s="24">
        <v>22400</v>
      </c>
      <c r="P48" s="24">
        <v>14330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 t="shared" si="15"/>
        <v>72480</v>
      </c>
      <c r="AA48" s="24">
        <v>0</v>
      </c>
      <c r="AB48" s="20">
        <f t="shared" si="16"/>
        <v>72480</v>
      </c>
      <c r="AC48" s="24" t="str">
        <f t="shared" si="17"/>
        <v/>
      </c>
      <c r="AD48" s="24" t="str">
        <f t="shared" si="18"/>
        <v/>
      </c>
      <c r="AE48" s="24" t="str">
        <f t="shared" si="19"/>
        <v/>
      </c>
      <c r="AF48" s="25" t="s">
        <v>325</v>
      </c>
    </row>
    <row r="49" spans="1:32" x14ac:dyDescent="0.25">
      <c r="A49" s="22" t="s">
        <v>191</v>
      </c>
      <c r="B49" s="22" t="s">
        <v>192</v>
      </c>
      <c r="C49" s="22" t="s">
        <v>70</v>
      </c>
      <c r="D49" s="23">
        <v>0.25</v>
      </c>
      <c r="E49" s="24">
        <v>0</v>
      </c>
      <c r="F49" s="24">
        <v>40000</v>
      </c>
      <c r="G49" s="24">
        <v>5000</v>
      </c>
      <c r="H49" s="24">
        <v>2000</v>
      </c>
      <c r="I49" s="24">
        <v>8000</v>
      </c>
      <c r="J49" s="24">
        <f t="shared" si="10"/>
        <v>0</v>
      </c>
      <c r="K49" s="24">
        <f t="shared" si="11"/>
        <v>30000</v>
      </c>
      <c r="L49" s="24">
        <f t="shared" si="12"/>
        <v>5000</v>
      </c>
      <c r="M49" s="24">
        <f t="shared" si="13"/>
        <v>1500</v>
      </c>
      <c r="N49" s="24">
        <f t="shared" si="14"/>
        <v>6000</v>
      </c>
      <c r="O49" s="24">
        <v>11880</v>
      </c>
      <c r="P49" s="24">
        <v>14330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 t="shared" si="15"/>
        <v>68710</v>
      </c>
      <c r="AA49" s="24">
        <v>0</v>
      </c>
      <c r="AB49" s="20">
        <f t="shared" si="16"/>
        <v>68710</v>
      </c>
      <c r="AC49" s="24" t="str">
        <f t="shared" si="17"/>
        <v/>
      </c>
      <c r="AD49" s="24" t="str">
        <f t="shared" si="18"/>
        <v/>
      </c>
      <c r="AE49" s="24" t="str">
        <f t="shared" si="19"/>
        <v/>
      </c>
      <c r="AF49" s="25" t="s">
        <v>325</v>
      </c>
    </row>
    <row r="50" spans="1:32" x14ac:dyDescent="0.25">
      <c r="A50" s="22" t="s">
        <v>243</v>
      </c>
      <c r="B50" s="22" t="s">
        <v>244</v>
      </c>
      <c r="C50" s="22" t="s">
        <v>49</v>
      </c>
      <c r="D50" s="23">
        <v>0</v>
      </c>
      <c r="E50" s="24">
        <v>0</v>
      </c>
      <c r="F50" s="24">
        <v>26000</v>
      </c>
      <c r="G50" s="24">
        <v>4000</v>
      </c>
      <c r="H50" s="24">
        <v>1000</v>
      </c>
      <c r="I50" s="24">
        <v>0</v>
      </c>
      <c r="J50" s="24">
        <f t="shared" si="10"/>
        <v>0</v>
      </c>
      <c r="K50" s="24">
        <f t="shared" si="11"/>
        <v>26000</v>
      </c>
      <c r="L50" s="24">
        <f t="shared" si="12"/>
        <v>4000</v>
      </c>
      <c r="M50" s="24">
        <f t="shared" si="13"/>
        <v>1000</v>
      </c>
      <c r="N50" s="24">
        <f t="shared" si="14"/>
        <v>0</v>
      </c>
      <c r="O50" s="24">
        <v>6840</v>
      </c>
      <c r="P50" s="24">
        <v>5300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f t="shared" si="15"/>
        <v>43140</v>
      </c>
      <c r="AA50" s="24">
        <v>0</v>
      </c>
      <c r="AB50" s="20">
        <f t="shared" si="16"/>
        <v>43140</v>
      </c>
      <c r="AC50" s="24" t="str">
        <f t="shared" si="17"/>
        <v/>
      </c>
      <c r="AD50" s="24" t="str">
        <f t="shared" si="18"/>
        <v/>
      </c>
      <c r="AE50" s="24" t="str">
        <f t="shared" si="19"/>
        <v/>
      </c>
      <c r="AF50" s="25" t="s">
        <v>325</v>
      </c>
    </row>
    <row r="51" spans="1:32" x14ac:dyDescent="0.25">
      <c r="A51" s="22" t="s">
        <v>64</v>
      </c>
      <c r="B51" s="22" t="s">
        <v>76</v>
      </c>
      <c r="C51" s="22" t="s">
        <v>47</v>
      </c>
      <c r="D51" s="23">
        <v>0.25</v>
      </c>
      <c r="E51" s="24">
        <v>0</v>
      </c>
      <c r="F51" s="24">
        <v>26000</v>
      </c>
      <c r="G51" s="24">
        <v>4000</v>
      </c>
      <c r="H51" s="24">
        <v>0</v>
      </c>
      <c r="I51" s="24">
        <v>0</v>
      </c>
      <c r="J51" s="24">
        <f t="shared" si="10"/>
        <v>0</v>
      </c>
      <c r="K51" s="24">
        <f t="shared" si="11"/>
        <v>19500</v>
      </c>
      <c r="L51" s="24">
        <f t="shared" si="12"/>
        <v>4000</v>
      </c>
      <c r="M51" s="24">
        <f t="shared" si="13"/>
        <v>0</v>
      </c>
      <c r="N51" s="24">
        <f t="shared" si="14"/>
        <v>0</v>
      </c>
      <c r="O51" s="24">
        <v>24930</v>
      </c>
      <c r="P51" s="24">
        <v>10730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18500</v>
      </c>
      <c r="Z51" s="24">
        <f t="shared" si="15"/>
        <v>83660</v>
      </c>
      <c r="AA51" s="24">
        <v>83180</v>
      </c>
      <c r="AB51" s="20">
        <f t="shared" si="16"/>
        <v>480</v>
      </c>
      <c r="AC51" s="24" t="str">
        <f t="shared" si="17"/>
        <v/>
      </c>
      <c r="AD51" s="24" t="str">
        <f t="shared" si="18"/>
        <v/>
      </c>
      <c r="AE51" s="24" t="str">
        <f t="shared" si="19"/>
        <v/>
      </c>
      <c r="AF51" s="25" t="s">
        <v>325</v>
      </c>
    </row>
    <row r="52" spans="1:32" x14ac:dyDescent="0.25">
      <c r="A52" s="22" t="s">
        <v>64</v>
      </c>
      <c r="B52" s="22" t="s">
        <v>77</v>
      </c>
      <c r="C52" s="22" t="s">
        <v>248</v>
      </c>
      <c r="D52" s="23">
        <v>0.05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 t="shared" si="10"/>
        <v>0</v>
      </c>
      <c r="K52" s="24">
        <f t="shared" si="11"/>
        <v>26600</v>
      </c>
      <c r="L52" s="24">
        <f t="shared" si="12"/>
        <v>4000</v>
      </c>
      <c r="M52" s="24">
        <f t="shared" si="13"/>
        <v>0</v>
      </c>
      <c r="N52" s="24">
        <f t="shared" si="14"/>
        <v>4750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f t="shared" si="15"/>
        <v>77370</v>
      </c>
      <c r="AA52" s="24">
        <v>79020</v>
      </c>
      <c r="AB52" s="20">
        <f t="shared" si="16"/>
        <v>-1650</v>
      </c>
      <c r="AC52" s="24" t="str">
        <f t="shared" si="17"/>
        <v/>
      </c>
      <c r="AD52" s="24" t="str">
        <f t="shared" si="18"/>
        <v/>
      </c>
      <c r="AE52" s="24" t="str">
        <f t="shared" si="19"/>
        <v/>
      </c>
      <c r="AF52" s="25" t="s">
        <v>326</v>
      </c>
    </row>
    <row r="53" spans="1:32" x14ac:dyDescent="0.25">
      <c r="A53" s="22" t="s">
        <v>78</v>
      </c>
      <c r="B53" s="22" t="s">
        <v>79</v>
      </c>
      <c r="C53" s="22" t="s">
        <v>33</v>
      </c>
      <c r="D53" s="23">
        <v>0</v>
      </c>
      <c r="E53" s="24">
        <v>0</v>
      </c>
      <c r="F53" s="24">
        <v>28000</v>
      </c>
      <c r="G53" s="24">
        <v>4000</v>
      </c>
      <c r="H53" s="24">
        <v>2500</v>
      </c>
      <c r="I53" s="24">
        <v>5000</v>
      </c>
      <c r="J53" s="24">
        <f t="shared" si="10"/>
        <v>0</v>
      </c>
      <c r="K53" s="24">
        <f t="shared" si="11"/>
        <v>28000</v>
      </c>
      <c r="L53" s="24">
        <f t="shared" si="12"/>
        <v>4000</v>
      </c>
      <c r="M53" s="24">
        <f t="shared" si="13"/>
        <v>2500</v>
      </c>
      <c r="N53" s="24">
        <f t="shared" si="14"/>
        <v>5000</v>
      </c>
      <c r="O53" s="24">
        <v>25970</v>
      </c>
      <c r="P53" s="24">
        <v>11330</v>
      </c>
      <c r="Q53" s="24">
        <v>0</v>
      </c>
      <c r="R53" s="24">
        <v>0</v>
      </c>
      <c r="S53" s="24">
        <v>0</v>
      </c>
      <c r="T53" s="24">
        <v>6000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 t="shared" si="15"/>
        <v>82800</v>
      </c>
      <c r="AA53" s="24">
        <v>82350</v>
      </c>
      <c r="AB53" s="20">
        <f t="shared" si="16"/>
        <v>450</v>
      </c>
      <c r="AC53" s="24" t="str">
        <f t="shared" si="17"/>
        <v/>
      </c>
      <c r="AD53" s="24" t="str">
        <f t="shared" si="18"/>
        <v/>
      </c>
      <c r="AE53" s="24" t="str">
        <f t="shared" si="19"/>
        <v/>
      </c>
      <c r="AF53" s="25" t="s">
        <v>325</v>
      </c>
    </row>
    <row r="54" spans="1:32" x14ac:dyDescent="0.25">
      <c r="A54" s="22" t="s">
        <v>355</v>
      </c>
      <c r="B54" s="22" t="s">
        <v>357</v>
      </c>
      <c r="C54" s="22" t="s">
        <v>44</v>
      </c>
      <c r="D54" s="23">
        <v>0.25</v>
      </c>
      <c r="E54" s="24">
        <v>2000</v>
      </c>
      <c r="F54" s="24">
        <v>26000</v>
      </c>
      <c r="G54" s="24">
        <v>4000</v>
      </c>
      <c r="H54" s="24">
        <v>1000</v>
      </c>
      <c r="I54" s="24">
        <v>0</v>
      </c>
      <c r="J54" s="24">
        <f t="shared" si="10"/>
        <v>1500</v>
      </c>
      <c r="K54" s="24">
        <f t="shared" si="11"/>
        <v>19500</v>
      </c>
      <c r="L54" s="24">
        <f t="shared" si="12"/>
        <v>4000</v>
      </c>
      <c r="M54" s="24">
        <f t="shared" si="13"/>
        <v>750</v>
      </c>
      <c r="N54" s="24">
        <f t="shared" si="14"/>
        <v>0</v>
      </c>
      <c r="O54" s="24">
        <v>13380</v>
      </c>
      <c r="P54" s="24">
        <v>7550</v>
      </c>
      <c r="Q54" s="24">
        <v>16000</v>
      </c>
      <c r="R54" s="24">
        <v>8000</v>
      </c>
      <c r="S54" s="24">
        <v>7000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f t="shared" si="15"/>
        <v>77680</v>
      </c>
      <c r="AA54" s="24">
        <v>50000</v>
      </c>
      <c r="AB54" s="20">
        <f t="shared" si="16"/>
        <v>27680</v>
      </c>
      <c r="AC54" s="24" t="str">
        <f t="shared" si="17"/>
        <v/>
      </c>
      <c r="AD54" s="24" t="str">
        <f t="shared" si="18"/>
        <v/>
      </c>
      <c r="AE54" s="24" t="str">
        <f t="shared" si="19"/>
        <v/>
      </c>
      <c r="AF54" s="24"/>
    </row>
    <row r="55" spans="1:32" x14ac:dyDescent="0.25">
      <c r="A55" s="22" t="s">
        <v>355</v>
      </c>
      <c r="B55" s="22" t="s">
        <v>356</v>
      </c>
      <c r="C55" s="22" t="s">
        <v>49</v>
      </c>
      <c r="D55" s="23">
        <v>0.25</v>
      </c>
      <c r="E55" s="24">
        <v>2000</v>
      </c>
      <c r="F55" s="24">
        <v>26000</v>
      </c>
      <c r="G55" s="24">
        <v>4000</v>
      </c>
      <c r="H55" s="24">
        <v>1000</v>
      </c>
      <c r="I55" s="24">
        <v>0</v>
      </c>
      <c r="J55" s="24">
        <f t="shared" si="10"/>
        <v>1500</v>
      </c>
      <c r="K55" s="24">
        <f t="shared" si="11"/>
        <v>19500</v>
      </c>
      <c r="L55" s="24">
        <f t="shared" si="12"/>
        <v>4000</v>
      </c>
      <c r="M55" s="24">
        <f t="shared" si="13"/>
        <v>750</v>
      </c>
      <c r="N55" s="24">
        <f t="shared" si="14"/>
        <v>0</v>
      </c>
      <c r="O55" s="24">
        <v>6840</v>
      </c>
      <c r="P55" s="24">
        <v>5300</v>
      </c>
      <c r="Q55" s="24">
        <v>16000</v>
      </c>
      <c r="R55" s="24">
        <v>8000</v>
      </c>
      <c r="S55" s="24">
        <v>7000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 t="shared" si="15"/>
        <v>68890</v>
      </c>
      <c r="AA55" s="24">
        <v>50000</v>
      </c>
      <c r="AB55" s="20">
        <f t="shared" si="16"/>
        <v>18890</v>
      </c>
      <c r="AC55" s="24"/>
      <c r="AD55" s="24"/>
      <c r="AE55" s="24"/>
      <c r="AF55" s="24"/>
    </row>
    <row r="56" spans="1:32" x14ac:dyDescent="0.25">
      <c r="A56" s="22" t="s">
        <v>55</v>
      </c>
      <c r="B56" s="22" t="s">
        <v>80</v>
      </c>
      <c r="C56" s="22" t="s">
        <v>67</v>
      </c>
      <c r="D56" s="23">
        <v>0.5</v>
      </c>
      <c r="E56" s="24">
        <v>0</v>
      </c>
      <c r="F56" s="24">
        <v>33000</v>
      </c>
      <c r="G56" s="24">
        <v>5000</v>
      </c>
      <c r="H56" s="24">
        <v>2000</v>
      </c>
      <c r="I56" s="24">
        <v>6000</v>
      </c>
      <c r="J56" s="24">
        <f t="shared" si="10"/>
        <v>0</v>
      </c>
      <c r="K56" s="24">
        <f t="shared" si="11"/>
        <v>16500</v>
      </c>
      <c r="L56" s="24">
        <f t="shared" si="12"/>
        <v>5000</v>
      </c>
      <c r="M56" s="24">
        <f t="shared" si="13"/>
        <v>1000</v>
      </c>
      <c r="N56" s="24">
        <f t="shared" si="14"/>
        <v>3000</v>
      </c>
      <c r="O56" s="24">
        <v>22400</v>
      </c>
      <c r="P56" s="24">
        <v>14330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500</v>
      </c>
      <c r="Z56" s="24">
        <f t="shared" si="15"/>
        <v>62730</v>
      </c>
      <c r="AA56" s="24">
        <v>0</v>
      </c>
      <c r="AB56" s="20">
        <f t="shared" si="16"/>
        <v>62730</v>
      </c>
      <c r="AC56" s="24" t="str">
        <f t="shared" ref="AC56:AC87" si="20">IF(AND($T56=6000, ($T56+$W56-$AB56)&gt;=6000),T56,"")</f>
        <v/>
      </c>
      <c r="AD56" s="24" t="str">
        <f t="shared" ref="AD56:AD87" si="21">IF(AND($T56=8000, ($T56+$W56-$AB56)&gt;=8000),T56,"")</f>
        <v/>
      </c>
      <c r="AE56" s="24" t="str">
        <f t="shared" ref="AE56:AE87" si="22">IF(($T56+$W56-$AB56)&gt;=$T56+8000,W56,"")</f>
        <v/>
      </c>
      <c r="AF56" s="25" t="s">
        <v>325</v>
      </c>
    </row>
    <row r="57" spans="1:32" x14ac:dyDescent="0.25">
      <c r="A57" s="22" t="s">
        <v>224</v>
      </c>
      <c r="B57" s="22" t="s">
        <v>226</v>
      </c>
      <c r="C57" s="22" t="s">
        <v>48</v>
      </c>
      <c r="D57" s="23">
        <v>0.25</v>
      </c>
      <c r="E57" s="24">
        <v>0</v>
      </c>
      <c r="F57" s="24">
        <v>28000</v>
      </c>
      <c r="G57" s="24">
        <v>4000</v>
      </c>
      <c r="H57" s="24">
        <v>0</v>
      </c>
      <c r="I57" s="24">
        <v>5000</v>
      </c>
      <c r="J57" s="24">
        <f t="shared" si="10"/>
        <v>0</v>
      </c>
      <c r="K57" s="24">
        <f t="shared" si="11"/>
        <v>21000</v>
      </c>
      <c r="L57" s="24">
        <f t="shared" si="12"/>
        <v>4000</v>
      </c>
      <c r="M57" s="24">
        <f t="shared" si="13"/>
        <v>0</v>
      </c>
      <c r="N57" s="24">
        <f t="shared" si="14"/>
        <v>3750</v>
      </c>
      <c r="O57" s="24">
        <v>26150</v>
      </c>
      <c r="P57" s="24">
        <v>11330</v>
      </c>
      <c r="Q57" s="24">
        <v>0</v>
      </c>
      <c r="R57" s="24">
        <v>0</v>
      </c>
      <c r="S57" s="24">
        <v>0</v>
      </c>
      <c r="T57" s="24">
        <v>6000</v>
      </c>
      <c r="U57" s="24">
        <v>0</v>
      </c>
      <c r="V57" s="24">
        <v>0</v>
      </c>
      <c r="W57" s="24">
        <v>0</v>
      </c>
      <c r="X57" s="24">
        <v>0</v>
      </c>
      <c r="Y57" s="24">
        <v>22105</v>
      </c>
      <c r="Z57" s="24">
        <f t="shared" si="15"/>
        <v>94335</v>
      </c>
      <c r="AA57" s="24">
        <v>64000</v>
      </c>
      <c r="AB57" s="20">
        <f t="shared" si="16"/>
        <v>30335</v>
      </c>
      <c r="AC57" s="24" t="str">
        <f t="shared" si="20"/>
        <v/>
      </c>
      <c r="AD57" s="24" t="str">
        <f t="shared" si="21"/>
        <v/>
      </c>
      <c r="AE57" s="24" t="str">
        <f t="shared" si="22"/>
        <v/>
      </c>
      <c r="AF57" s="25" t="s">
        <v>325</v>
      </c>
    </row>
    <row r="58" spans="1:32" x14ac:dyDescent="0.25">
      <c r="A58" s="22" t="s">
        <v>224</v>
      </c>
      <c r="B58" s="22" t="s">
        <v>225</v>
      </c>
      <c r="C58" s="22" t="s">
        <v>248</v>
      </c>
      <c r="D58" s="23">
        <v>0.25</v>
      </c>
      <c r="E58" s="24">
        <v>0</v>
      </c>
      <c r="F58" s="24">
        <v>28000</v>
      </c>
      <c r="G58" s="24">
        <v>4000</v>
      </c>
      <c r="H58" s="24">
        <v>0</v>
      </c>
      <c r="I58" s="24">
        <v>5000</v>
      </c>
      <c r="J58" s="24">
        <f t="shared" si="10"/>
        <v>0</v>
      </c>
      <c r="K58" s="24">
        <f t="shared" si="11"/>
        <v>21000</v>
      </c>
      <c r="L58" s="24">
        <f t="shared" si="12"/>
        <v>4000</v>
      </c>
      <c r="M58" s="24">
        <f t="shared" si="13"/>
        <v>0</v>
      </c>
      <c r="N58" s="24">
        <f t="shared" si="14"/>
        <v>3750</v>
      </c>
      <c r="O58" s="24">
        <v>28790</v>
      </c>
      <c r="P58" s="24">
        <v>13230</v>
      </c>
      <c r="Q58" s="24">
        <v>0</v>
      </c>
      <c r="R58" s="24">
        <v>0</v>
      </c>
      <c r="S58" s="24">
        <v>0</v>
      </c>
      <c r="T58" s="24">
        <v>6000</v>
      </c>
      <c r="U58" s="24">
        <v>0</v>
      </c>
      <c r="V58" s="24">
        <v>0</v>
      </c>
      <c r="W58" s="24">
        <v>0</v>
      </c>
      <c r="X58" s="24">
        <v>0</v>
      </c>
      <c r="Y58" s="24">
        <v>24395</v>
      </c>
      <c r="Z58" s="24">
        <f t="shared" si="15"/>
        <v>101165</v>
      </c>
      <c r="AA58" s="24">
        <v>64000</v>
      </c>
      <c r="AB58" s="20">
        <f t="shared" si="16"/>
        <v>37165</v>
      </c>
      <c r="AC58" s="24" t="str">
        <f t="shared" si="20"/>
        <v/>
      </c>
      <c r="AD58" s="24" t="str">
        <f t="shared" si="21"/>
        <v/>
      </c>
      <c r="AE58" s="24" t="str">
        <f t="shared" si="22"/>
        <v/>
      </c>
      <c r="AF58" s="25" t="s">
        <v>325</v>
      </c>
    </row>
    <row r="59" spans="1:32" x14ac:dyDescent="0.25">
      <c r="A59" s="22" t="s">
        <v>153</v>
      </c>
      <c r="B59" s="22" t="s">
        <v>154</v>
      </c>
      <c r="C59" s="22" t="s">
        <v>30</v>
      </c>
      <c r="D59" s="23">
        <v>0</v>
      </c>
      <c r="E59" s="24">
        <v>0</v>
      </c>
      <c r="F59" s="24">
        <v>26000</v>
      </c>
      <c r="G59" s="24">
        <v>4000</v>
      </c>
      <c r="H59" s="24">
        <v>1000</v>
      </c>
      <c r="I59" s="24">
        <v>0</v>
      </c>
      <c r="J59" s="24">
        <f t="shared" si="10"/>
        <v>0</v>
      </c>
      <c r="K59" s="24">
        <f t="shared" si="11"/>
        <v>26000</v>
      </c>
      <c r="L59" s="24">
        <f t="shared" si="12"/>
        <v>4000</v>
      </c>
      <c r="M59" s="24">
        <f t="shared" si="13"/>
        <v>1000</v>
      </c>
      <c r="N59" s="24">
        <f t="shared" si="14"/>
        <v>0</v>
      </c>
      <c r="O59" s="24">
        <v>12480</v>
      </c>
      <c r="P59" s="24">
        <v>7550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 t="shared" si="15"/>
        <v>51030</v>
      </c>
      <c r="AA59" s="24">
        <v>0</v>
      </c>
      <c r="AB59" s="20">
        <f t="shared" si="16"/>
        <v>51030</v>
      </c>
      <c r="AC59" s="24" t="str">
        <f t="shared" si="20"/>
        <v/>
      </c>
      <c r="AD59" s="24" t="str">
        <f t="shared" si="21"/>
        <v/>
      </c>
      <c r="AE59" s="24" t="str">
        <f t="shared" si="22"/>
        <v/>
      </c>
      <c r="AF59" s="25" t="s">
        <v>325</v>
      </c>
    </row>
    <row r="60" spans="1:32" x14ac:dyDescent="0.25">
      <c r="A60" s="22" t="s">
        <v>175</v>
      </c>
      <c r="B60" s="22" t="s">
        <v>176</v>
      </c>
      <c r="C60" s="22" t="s">
        <v>49</v>
      </c>
      <c r="D60" s="23">
        <v>0</v>
      </c>
      <c r="E60" s="24">
        <v>0</v>
      </c>
      <c r="F60" s="24">
        <v>26000</v>
      </c>
      <c r="G60" s="24">
        <v>4000</v>
      </c>
      <c r="H60" s="24">
        <v>1000</v>
      </c>
      <c r="I60" s="24">
        <v>0</v>
      </c>
      <c r="J60" s="24">
        <f t="shared" si="10"/>
        <v>0</v>
      </c>
      <c r="K60" s="24">
        <f t="shared" si="11"/>
        <v>26000</v>
      </c>
      <c r="L60" s="24">
        <f t="shared" si="12"/>
        <v>4000</v>
      </c>
      <c r="M60" s="24">
        <f t="shared" si="13"/>
        <v>1000</v>
      </c>
      <c r="N60" s="24">
        <f t="shared" si="14"/>
        <v>0</v>
      </c>
      <c r="O60" s="24">
        <v>6840</v>
      </c>
      <c r="P60" s="24">
        <v>5300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2000</v>
      </c>
      <c r="Z60" s="24">
        <f t="shared" si="15"/>
        <v>45140</v>
      </c>
      <c r="AA60" s="24">
        <v>50440</v>
      </c>
      <c r="AB60" s="20">
        <f t="shared" si="16"/>
        <v>-5300</v>
      </c>
      <c r="AC60" s="24" t="str">
        <f t="shared" si="20"/>
        <v/>
      </c>
      <c r="AD60" s="24" t="str">
        <f t="shared" si="21"/>
        <v/>
      </c>
      <c r="AE60" s="24" t="str">
        <f t="shared" si="22"/>
        <v/>
      </c>
      <c r="AF60" s="25" t="s">
        <v>325</v>
      </c>
    </row>
    <row r="61" spans="1:32" x14ac:dyDescent="0.25">
      <c r="A61" s="22" t="s">
        <v>280</v>
      </c>
      <c r="B61" s="22" t="s">
        <v>360</v>
      </c>
      <c r="C61" s="22" t="s">
        <v>67</v>
      </c>
      <c r="D61" s="23">
        <v>0.25</v>
      </c>
      <c r="E61" s="24">
        <v>3000</v>
      </c>
      <c r="F61" s="24">
        <v>33000</v>
      </c>
      <c r="G61" s="24">
        <v>5000</v>
      </c>
      <c r="H61" s="24">
        <v>2000</v>
      </c>
      <c r="I61" s="24">
        <v>6000</v>
      </c>
      <c r="J61" s="24">
        <f t="shared" si="10"/>
        <v>2250</v>
      </c>
      <c r="K61" s="24">
        <f t="shared" si="11"/>
        <v>24750</v>
      </c>
      <c r="L61" s="24">
        <f t="shared" si="12"/>
        <v>5000</v>
      </c>
      <c r="M61" s="24">
        <f t="shared" si="13"/>
        <v>1500</v>
      </c>
      <c r="N61" s="24">
        <f t="shared" si="14"/>
        <v>4500</v>
      </c>
      <c r="O61" s="24">
        <v>22400</v>
      </c>
      <c r="P61" s="24">
        <v>25730</v>
      </c>
      <c r="Q61" s="24">
        <v>12000</v>
      </c>
      <c r="R61" s="24">
        <v>8000</v>
      </c>
      <c r="S61" s="24">
        <v>8000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 t="shared" si="15"/>
        <v>114130</v>
      </c>
      <c r="AA61" s="24">
        <v>100000</v>
      </c>
      <c r="AB61" s="20">
        <f t="shared" si="16"/>
        <v>14130</v>
      </c>
      <c r="AC61" s="24" t="str">
        <f t="shared" si="20"/>
        <v/>
      </c>
      <c r="AD61" s="24" t="str">
        <f t="shared" si="21"/>
        <v/>
      </c>
      <c r="AE61" s="24" t="str">
        <f t="shared" si="22"/>
        <v/>
      </c>
      <c r="AF61" s="25" t="s">
        <v>325</v>
      </c>
    </row>
    <row r="62" spans="1:32" x14ac:dyDescent="0.25">
      <c r="A62" s="22" t="s">
        <v>280</v>
      </c>
      <c r="B62" s="22" t="s">
        <v>193</v>
      </c>
      <c r="C62" s="22" t="s">
        <v>97</v>
      </c>
      <c r="D62" s="23">
        <v>0.25</v>
      </c>
      <c r="E62" s="24">
        <v>3000</v>
      </c>
      <c r="F62" s="24">
        <v>40000</v>
      </c>
      <c r="G62" s="24">
        <v>5000</v>
      </c>
      <c r="H62" s="24">
        <v>2000</v>
      </c>
      <c r="I62" s="24">
        <v>8000</v>
      </c>
      <c r="J62" s="24">
        <f t="shared" si="10"/>
        <v>2250</v>
      </c>
      <c r="K62" s="24">
        <f t="shared" si="11"/>
        <v>30000</v>
      </c>
      <c r="L62" s="24">
        <f t="shared" si="12"/>
        <v>5000</v>
      </c>
      <c r="M62" s="24">
        <f t="shared" si="13"/>
        <v>1500</v>
      </c>
      <c r="N62" s="24">
        <f t="shared" si="14"/>
        <v>6000</v>
      </c>
      <c r="O62" s="24">
        <v>11880</v>
      </c>
      <c r="P62" s="24">
        <v>14330</v>
      </c>
      <c r="Q62" s="24">
        <v>20000</v>
      </c>
      <c r="R62" s="24">
        <v>8000</v>
      </c>
      <c r="S62" s="24">
        <v>8000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 t="shared" si="15"/>
        <v>106960</v>
      </c>
      <c r="AA62" s="24">
        <v>100000</v>
      </c>
      <c r="AB62" s="20">
        <f t="shared" si="16"/>
        <v>6960</v>
      </c>
      <c r="AC62" s="24" t="str">
        <f t="shared" si="20"/>
        <v/>
      </c>
      <c r="AD62" s="24" t="str">
        <f t="shared" si="21"/>
        <v/>
      </c>
      <c r="AE62" s="24" t="str">
        <f t="shared" si="22"/>
        <v/>
      </c>
      <c r="AF62" s="25" t="s">
        <v>325</v>
      </c>
    </row>
    <row r="63" spans="1:32" x14ac:dyDescent="0.25">
      <c r="A63" s="22" t="s">
        <v>155</v>
      </c>
      <c r="B63" s="22" t="s">
        <v>156</v>
      </c>
      <c r="C63" s="22" t="s">
        <v>44</v>
      </c>
      <c r="D63" s="23">
        <v>0</v>
      </c>
      <c r="E63" s="24">
        <v>0</v>
      </c>
      <c r="F63" s="24">
        <v>26000</v>
      </c>
      <c r="G63" s="24">
        <v>4000</v>
      </c>
      <c r="H63" s="24">
        <v>0</v>
      </c>
      <c r="I63" s="24">
        <v>0</v>
      </c>
      <c r="J63" s="24">
        <f t="shared" si="10"/>
        <v>0</v>
      </c>
      <c r="K63" s="24">
        <f t="shared" si="11"/>
        <v>26000</v>
      </c>
      <c r="L63" s="24">
        <f t="shared" si="12"/>
        <v>4000</v>
      </c>
      <c r="M63" s="24">
        <f t="shared" si="13"/>
        <v>0</v>
      </c>
      <c r="N63" s="24">
        <f t="shared" si="14"/>
        <v>0</v>
      </c>
      <c r="O63" s="24">
        <v>13380</v>
      </c>
      <c r="P63" s="24">
        <v>7550</v>
      </c>
      <c r="Q63" s="24">
        <v>0</v>
      </c>
      <c r="R63" s="24">
        <v>0</v>
      </c>
      <c r="S63" s="24">
        <v>0</v>
      </c>
      <c r="T63" s="24">
        <v>6000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 t="shared" si="15"/>
        <v>56930</v>
      </c>
      <c r="AA63" s="24">
        <v>56930</v>
      </c>
      <c r="AB63" s="20">
        <f t="shared" si="16"/>
        <v>0</v>
      </c>
      <c r="AC63" s="24">
        <f t="shared" si="20"/>
        <v>6000</v>
      </c>
      <c r="AD63" s="24" t="str">
        <f t="shared" si="21"/>
        <v/>
      </c>
      <c r="AE63" s="24" t="str">
        <f t="shared" si="22"/>
        <v/>
      </c>
      <c r="AF63" s="25" t="s">
        <v>325</v>
      </c>
    </row>
    <row r="64" spans="1:32" x14ac:dyDescent="0.25">
      <c r="A64" s="22" t="s">
        <v>180</v>
      </c>
      <c r="B64" s="22" t="s">
        <v>181</v>
      </c>
      <c r="C64" s="22" t="s">
        <v>33</v>
      </c>
      <c r="D64" s="23">
        <v>0</v>
      </c>
      <c r="E64" s="24">
        <v>0</v>
      </c>
      <c r="F64" s="24">
        <v>28000</v>
      </c>
      <c r="G64" s="24">
        <v>4000</v>
      </c>
      <c r="H64" s="24">
        <v>2500</v>
      </c>
      <c r="I64" s="24">
        <v>5000</v>
      </c>
      <c r="J64" s="24">
        <f t="shared" si="10"/>
        <v>0</v>
      </c>
      <c r="K64" s="24">
        <f t="shared" si="11"/>
        <v>28000</v>
      </c>
      <c r="L64" s="24">
        <f t="shared" si="12"/>
        <v>4000</v>
      </c>
      <c r="M64" s="24">
        <f t="shared" si="13"/>
        <v>2500</v>
      </c>
      <c r="N64" s="24">
        <f t="shared" si="14"/>
        <v>5000</v>
      </c>
      <c r="O64" s="24">
        <v>25970</v>
      </c>
      <c r="P64" s="24">
        <v>11330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 t="shared" si="15"/>
        <v>76800</v>
      </c>
      <c r="AA64" s="24">
        <v>0</v>
      </c>
      <c r="AB64" s="20">
        <f t="shared" si="16"/>
        <v>76800</v>
      </c>
      <c r="AC64" s="24" t="str">
        <f t="shared" si="20"/>
        <v/>
      </c>
      <c r="AD64" s="24" t="str">
        <f t="shared" si="21"/>
        <v/>
      </c>
      <c r="AE64" s="24" t="str">
        <f t="shared" si="22"/>
        <v/>
      </c>
      <c r="AF64" s="25" t="s">
        <v>325</v>
      </c>
    </row>
    <row r="65" spans="1:32" x14ac:dyDescent="0.25">
      <c r="A65" s="22" t="s">
        <v>177</v>
      </c>
      <c r="B65" s="22" t="s">
        <v>178</v>
      </c>
      <c r="C65" s="22" t="s">
        <v>44</v>
      </c>
      <c r="D65" s="23">
        <v>0.25</v>
      </c>
      <c r="E65" s="24">
        <v>0</v>
      </c>
      <c r="F65" s="24">
        <v>26000</v>
      </c>
      <c r="G65" s="24">
        <v>4000</v>
      </c>
      <c r="H65" s="24">
        <v>0</v>
      </c>
      <c r="I65" s="24">
        <v>0</v>
      </c>
      <c r="J65" s="24">
        <f t="shared" si="10"/>
        <v>0</v>
      </c>
      <c r="K65" s="24">
        <f t="shared" si="11"/>
        <v>19500</v>
      </c>
      <c r="L65" s="24">
        <f t="shared" si="12"/>
        <v>4000</v>
      </c>
      <c r="M65" s="24">
        <f t="shared" si="13"/>
        <v>0</v>
      </c>
      <c r="N65" s="24">
        <f t="shared" si="14"/>
        <v>0</v>
      </c>
      <c r="O65" s="24">
        <v>13380</v>
      </c>
      <c r="P65" s="24">
        <v>3950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f t="shared" si="15"/>
        <v>40830</v>
      </c>
      <c r="AA65" s="24">
        <v>0</v>
      </c>
      <c r="AB65" s="20">
        <f t="shared" si="16"/>
        <v>40830</v>
      </c>
      <c r="AC65" s="24" t="str">
        <f t="shared" si="20"/>
        <v/>
      </c>
      <c r="AD65" s="24" t="str">
        <f t="shared" si="21"/>
        <v/>
      </c>
      <c r="AE65" s="24" t="str">
        <f t="shared" si="22"/>
        <v/>
      </c>
      <c r="AF65" s="25" t="s">
        <v>325</v>
      </c>
    </row>
    <row r="66" spans="1:32" x14ac:dyDescent="0.25">
      <c r="A66" s="22" t="s">
        <v>234</v>
      </c>
      <c r="B66" s="22" t="s">
        <v>255</v>
      </c>
      <c r="C66" s="22" t="s">
        <v>44</v>
      </c>
      <c r="D66" s="23">
        <v>0.05</v>
      </c>
      <c r="E66" s="24">
        <v>0</v>
      </c>
      <c r="F66" s="24">
        <v>26000</v>
      </c>
      <c r="G66" s="24">
        <v>4000</v>
      </c>
      <c r="H66" s="24">
        <v>0</v>
      </c>
      <c r="I66" s="24">
        <v>0</v>
      </c>
      <c r="J66" s="24">
        <f t="shared" ref="J66:J97" si="23">(1-$D66)*E66</f>
        <v>0</v>
      </c>
      <c r="K66" s="24">
        <f t="shared" ref="K66:K97" si="24">(1-$D66)*F66</f>
        <v>24700</v>
      </c>
      <c r="L66" s="24">
        <f t="shared" ref="L66:L97" si="25">G66</f>
        <v>4000</v>
      </c>
      <c r="M66" s="24">
        <f t="shared" ref="M66:M97" si="26">(1-$D66)*H66</f>
        <v>0</v>
      </c>
      <c r="N66" s="24">
        <f t="shared" ref="N66:N97" si="27">(1-$D66)*I66</f>
        <v>0</v>
      </c>
      <c r="O66" s="24">
        <v>13380</v>
      </c>
      <c r="P66" s="24">
        <v>7550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1000</v>
      </c>
      <c r="Z66" s="24">
        <f t="shared" ref="Z66:Z97" si="28">SUM(J66:Y66)</f>
        <v>50630</v>
      </c>
      <c r="AA66" s="24">
        <v>51930</v>
      </c>
      <c r="AB66" s="20">
        <f t="shared" ref="AB66:AB97" si="29">Z66-AA66</f>
        <v>-1300</v>
      </c>
      <c r="AC66" s="24" t="str">
        <f t="shared" si="20"/>
        <v/>
      </c>
      <c r="AD66" s="24" t="str">
        <f t="shared" si="21"/>
        <v/>
      </c>
      <c r="AE66" s="24" t="str">
        <f t="shared" si="22"/>
        <v/>
      </c>
      <c r="AF66" s="25" t="s">
        <v>326</v>
      </c>
    </row>
    <row r="67" spans="1:32" x14ac:dyDescent="0.25">
      <c r="A67" s="22" t="s">
        <v>81</v>
      </c>
      <c r="B67" s="22" t="s">
        <v>82</v>
      </c>
      <c r="C67" s="22" t="s">
        <v>33</v>
      </c>
      <c r="D67" s="23">
        <v>0</v>
      </c>
      <c r="E67" s="24">
        <v>0</v>
      </c>
      <c r="F67" s="24">
        <v>28000</v>
      </c>
      <c r="G67" s="24">
        <v>4000</v>
      </c>
      <c r="H67" s="24">
        <v>2500</v>
      </c>
      <c r="I67" s="24">
        <v>5000</v>
      </c>
      <c r="J67" s="24">
        <f t="shared" si="23"/>
        <v>0</v>
      </c>
      <c r="K67" s="24">
        <f t="shared" si="24"/>
        <v>28000</v>
      </c>
      <c r="L67" s="24">
        <f t="shared" si="25"/>
        <v>4000</v>
      </c>
      <c r="M67" s="24">
        <f t="shared" si="26"/>
        <v>2500</v>
      </c>
      <c r="N67" s="24">
        <f t="shared" si="27"/>
        <v>5000</v>
      </c>
      <c r="O67" s="24">
        <v>25970</v>
      </c>
      <c r="P67" s="24">
        <v>11330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550</v>
      </c>
      <c r="Z67" s="24">
        <f t="shared" si="28"/>
        <v>77350</v>
      </c>
      <c r="AA67" s="24">
        <v>25000</v>
      </c>
      <c r="AB67" s="20">
        <f t="shared" si="29"/>
        <v>52350</v>
      </c>
      <c r="AC67" s="24" t="str">
        <f t="shared" si="20"/>
        <v/>
      </c>
      <c r="AD67" s="24" t="str">
        <f t="shared" si="21"/>
        <v/>
      </c>
      <c r="AE67" s="24" t="str">
        <f t="shared" si="22"/>
        <v/>
      </c>
      <c r="AF67" s="25" t="s">
        <v>325</v>
      </c>
    </row>
    <row r="68" spans="1:32" x14ac:dyDescent="0.25">
      <c r="A68" s="22" t="s">
        <v>83</v>
      </c>
      <c r="B68" s="22" t="s">
        <v>84</v>
      </c>
      <c r="C68" s="22" t="s">
        <v>46</v>
      </c>
      <c r="D68" s="23">
        <v>0</v>
      </c>
      <c r="E68" s="24">
        <v>0</v>
      </c>
      <c r="F68" s="24">
        <v>28000</v>
      </c>
      <c r="G68" s="24">
        <v>4000</v>
      </c>
      <c r="H68" s="24">
        <v>0</v>
      </c>
      <c r="I68" s="24">
        <v>5000</v>
      </c>
      <c r="J68" s="24">
        <f t="shared" si="23"/>
        <v>0</v>
      </c>
      <c r="K68" s="24">
        <f t="shared" si="24"/>
        <v>28000</v>
      </c>
      <c r="L68" s="24">
        <f t="shared" si="25"/>
        <v>4000</v>
      </c>
      <c r="M68" s="24">
        <f t="shared" si="26"/>
        <v>0</v>
      </c>
      <c r="N68" s="24">
        <f t="shared" si="27"/>
        <v>5000</v>
      </c>
      <c r="O68" s="24">
        <v>27310</v>
      </c>
      <c r="P68" s="24">
        <v>13230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 t="shared" si="28"/>
        <v>77540</v>
      </c>
      <c r="AA68" s="24">
        <v>50000</v>
      </c>
      <c r="AB68" s="20">
        <f t="shared" si="29"/>
        <v>27540</v>
      </c>
      <c r="AC68" s="24" t="str">
        <f t="shared" si="20"/>
        <v/>
      </c>
      <c r="AD68" s="24" t="str">
        <f t="shared" si="21"/>
        <v/>
      </c>
      <c r="AE68" s="24" t="str">
        <f t="shared" si="22"/>
        <v/>
      </c>
      <c r="AF68" s="25" t="s">
        <v>325</v>
      </c>
    </row>
    <row r="69" spans="1:32" x14ac:dyDescent="0.25">
      <c r="A69" s="22" t="s">
        <v>85</v>
      </c>
      <c r="B69" s="22" t="s">
        <v>86</v>
      </c>
      <c r="C69" s="22" t="s">
        <v>67</v>
      </c>
      <c r="D69" s="23">
        <v>0.5</v>
      </c>
      <c r="E69" s="24">
        <v>0</v>
      </c>
      <c r="F69" s="24">
        <v>33000</v>
      </c>
      <c r="G69" s="24">
        <v>5000</v>
      </c>
      <c r="H69" s="24">
        <v>2000</v>
      </c>
      <c r="I69" s="24">
        <v>6000</v>
      </c>
      <c r="J69" s="24">
        <f t="shared" si="23"/>
        <v>0</v>
      </c>
      <c r="K69" s="24">
        <f t="shared" si="24"/>
        <v>16500</v>
      </c>
      <c r="L69" s="24">
        <f t="shared" si="25"/>
        <v>5000</v>
      </c>
      <c r="M69" s="24">
        <f t="shared" si="26"/>
        <v>1000</v>
      </c>
      <c r="N69" s="24">
        <f t="shared" si="27"/>
        <v>3000</v>
      </c>
      <c r="O69" s="24">
        <v>22400</v>
      </c>
      <c r="P69" s="24">
        <v>14330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f t="shared" si="28"/>
        <v>62230</v>
      </c>
      <c r="AA69" s="24">
        <v>50000</v>
      </c>
      <c r="AB69" s="20">
        <f t="shared" si="29"/>
        <v>12230</v>
      </c>
      <c r="AC69" s="24" t="str">
        <f t="shared" si="20"/>
        <v/>
      </c>
      <c r="AD69" s="24" t="str">
        <f t="shared" si="21"/>
        <v/>
      </c>
      <c r="AE69" s="24" t="str">
        <f t="shared" si="22"/>
        <v/>
      </c>
      <c r="AF69" s="25" t="s">
        <v>325</v>
      </c>
    </row>
    <row r="70" spans="1:32" x14ac:dyDescent="0.25">
      <c r="A70" s="22" t="s">
        <v>85</v>
      </c>
      <c r="B70" s="22" t="s">
        <v>87</v>
      </c>
      <c r="C70" s="22" t="s">
        <v>59</v>
      </c>
      <c r="D70" s="23">
        <v>0.25</v>
      </c>
      <c r="E70" s="24">
        <v>0</v>
      </c>
      <c r="F70" s="24">
        <v>28000</v>
      </c>
      <c r="G70" s="24">
        <v>4000</v>
      </c>
      <c r="H70" s="24">
        <v>0</v>
      </c>
      <c r="I70" s="24">
        <v>5000</v>
      </c>
      <c r="J70" s="24">
        <f t="shared" si="23"/>
        <v>0</v>
      </c>
      <c r="K70" s="24">
        <f t="shared" si="24"/>
        <v>21000</v>
      </c>
      <c r="L70" s="24">
        <f t="shared" si="25"/>
        <v>4000</v>
      </c>
      <c r="M70" s="24">
        <f t="shared" si="26"/>
        <v>0</v>
      </c>
      <c r="N70" s="24">
        <f t="shared" si="27"/>
        <v>3750</v>
      </c>
      <c r="O70" s="24">
        <v>27330</v>
      </c>
      <c r="P70" s="24">
        <v>13230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 t="shared" si="28"/>
        <v>69310</v>
      </c>
      <c r="AA70" s="24">
        <v>50000</v>
      </c>
      <c r="AB70" s="20">
        <f t="shared" si="29"/>
        <v>19310</v>
      </c>
      <c r="AC70" s="24" t="str">
        <f t="shared" si="20"/>
        <v/>
      </c>
      <c r="AD70" s="24" t="str">
        <f t="shared" si="21"/>
        <v/>
      </c>
      <c r="AE70" s="24" t="str">
        <f t="shared" si="22"/>
        <v/>
      </c>
      <c r="AF70" s="25" t="s">
        <v>325</v>
      </c>
    </row>
    <row r="71" spans="1:32" x14ac:dyDescent="0.25">
      <c r="A71" s="22" t="s">
        <v>367</v>
      </c>
      <c r="B71" s="22" t="s">
        <v>368</v>
      </c>
      <c r="C71" s="22" t="s">
        <v>48</v>
      </c>
      <c r="D71" s="23">
        <v>0.25</v>
      </c>
      <c r="E71" s="24">
        <v>2000</v>
      </c>
      <c r="F71" s="24">
        <v>28000</v>
      </c>
      <c r="G71" s="24">
        <v>4000</v>
      </c>
      <c r="H71" s="24">
        <v>2500</v>
      </c>
      <c r="I71" s="24">
        <v>5000</v>
      </c>
      <c r="J71" s="24">
        <f t="shared" si="23"/>
        <v>1500</v>
      </c>
      <c r="K71" s="24">
        <f t="shared" si="24"/>
        <v>21000</v>
      </c>
      <c r="L71" s="24">
        <f t="shared" si="25"/>
        <v>4000</v>
      </c>
      <c r="M71" s="24">
        <f t="shared" si="26"/>
        <v>1875</v>
      </c>
      <c r="N71" s="24">
        <f t="shared" si="27"/>
        <v>3750</v>
      </c>
      <c r="O71" s="24">
        <v>26150</v>
      </c>
      <c r="P71" s="24">
        <v>11330</v>
      </c>
      <c r="Q71" s="24">
        <v>16000</v>
      </c>
      <c r="R71" s="24">
        <v>8000</v>
      </c>
      <c r="S71" s="24">
        <v>7000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 t="shared" si="28"/>
        <v>100605</v>
      </c>
      <c r="AA71" s="24">
        <v>70000</v>
      </c>
      <c r="AB71" s="20">
        <f t="shared" si="29"/>
        <v>30605</v>
      </c>
      <c r="AC71" s="24" t="str">
        <f t="shared" si="20"/>
        <v/>
      </c>
      <c r="AD71" s="24" t="str">
        <f t="shared" si="21"/>
        <v/>
      </c>
      <c r="AE71" s="24" t="str">
        <f t="shared" si="22"/>
        <v/>
      </c>
      <c r="AF71" s="25"/>
    </row>
    <row r="72" spans="1:32" x14ac:dyDescent="0.25">
      <c r="A72" s="22" t="s">
        <v>353</v>
      </c>
      <c r="B72" s="22" t="s">
        <v>354</v>
      </c>
      <c r="C72" s="22" t="s">
        <v>252</v>
      </c>
      <c r="D72" s="23">
        <v>0</v>
      </c>
      <c r="E72" s="24">
        <v>2000</v>
      </c>
      <c r="F72" s="24">
        <v>26000</v>
      </c>
      <c r="G72" s="24">
        <v>2000</v>
      </c>
      <c r="H72" s="24">
        <v>0</v>
      </c>
      <c r="I72" s="24">
        <v>0</v>
      </c>
      <c r="J72" s="24">
        <f t="shared" si="23"/>
        <v>2000</v>
      </c>
      <c r="K72" s="24">
        <f t="shared" si="24"/>
        <v>26000</v>
      </c>
      <c r="L72" s="24">
        <f t="shared" si="25"/>
        <v>2000</v>
      </c>
      <c r="M72" s="24">
        <f t="shared" si="26"/>
        <v>0</v>
      </c>
      <c r="N72" s="24">
        <f t="shared" si="27"/>
        <v>0</v>
      </c>
      <c r="O72" s="24">
        <v>0</v>
      </c>
      <c r="P72" s="24">
        <v>3050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 t="shared" si="28"/>
        <v>33050</v>
      </c>
      <c r="AA72" s="24">
        <v>20000</v>
      </c>
      <c r="AB72" s="20">
        <f t="shared" si="29"/>
        <v>13050</v>
      </c>
      <c r="AC72" s="24" t="str">
        <f t="shared" si="20"/>
        <v/>
      </c>
      <c r="AD72" s="24" t="str">
        <f t="shared" si="21"/>
        <v/>
      </c>
      <c r="AE72" s="24" t="str">
        <f t="shared" si="22"/>
        <v/>
      </c>
      <c r="AF72" s="24"/>
    </row>
    <row r="73" spans="1:32" x14ac:dyDescent="0.25">
      <c r="A73" s="22" t="s">
        <v>195</v>
      </c>
      <c r="B73" s="22" t="s">
        <v>196</v>
      </c>
      <c r="C73" s="22" t="s">
        <v>36</v>
      </c>
      <c r="D73" s="23">
        <v>0</v>
      </c>
      <c r="E73" s="24">
        <v>0</v>
      </c>
      <c r="F73" s="24">
        <v>33000</v>
      </c>
      <c r="G73" s="24">
        <v>5000</v>
      </c>
      <c r="H73" s="24">
        <v>2000</v>
      </c>
      <c r="I73" s="24">
        <v>6000</v>
      </c>
      <c r="J73" s="24">
        <f t="shared" si="23"/>
        <v>0</v>
      </c>
      <c r="K73" s="24">
        <f t="shared" si="24"/>
        <v>33000</v>
      </c>
      <c r="L73" s="24">
        <f t="shared" si="25"/>
        <v>5000</v>
      </c>
      <c r="M73" s="24">
        <f t="shared" si="26"/>
        <v>2000</v>
      </c>
      <c r="N73" s="24">
        <f t="shared" si="27"/>
        <v>6000</v>
      </c>
      <c r="O73" s="24">
        <v>19500</v>
      </c>
      <c r="P73" s="24">
        <v>14330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 t="shared" si="28"/>
        <v>79830</v>
      </c>
      <c r="AA73" s="24">
        <v>40000</v>
      </c>
      <c r="AB73" s="20">
        <f t="shared" si="29"/>
        <v>39830</v>
      </c>
      <c r="AC73" s="24" t="str">
        <f t="shared" si="20"/>
        <v/>
      </c>
      <c r="AD73" s="24" t="str">
        <f t="shared" si="21"/>
        <v/>
      </c>
      <c r="AE73" s="24" t="str">
        <f t="shared" si="22"/>
        <v/>
      </c>
      <c r="AF73" s="25" t="s">
        <v>325</v>
      </c>
    </row>
    <row r="74" spans="1:32" x14ac:dyDescent="0.25">
      <c r="A74" s="22" t="s">
        <v>213</v>
      </c>
      <c r="B74" s="22" t="s">
        <v>223</v>
      </c>
      <c r="C74" s="22" t="s">
        <v>49</v>
      </c>
      <c r="D74" s="23">
        <v>0.55000000000000004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 t="shared" si="23"/>
        <v>0</v>
      </c>
      <c r="K74" s="24">
        <f t="shared" si="24"/>
        <v>11699.999999999998</v>
      </c>
      <c r="L74" s="24">
        <f t="shared" si="25"/>
        <v>4000</v>
      </c>
      <c r="M74" s="24">
        <f t="shared" si="26"/>
        <v>449.99999999999994</v>
      </c>
      <c r="N74" s="24">
        <f t="shared" si="27"/>
        <v>0</v>
      </c>
      <c r="O74" s="24">
        <v>6840</v>
      </c>
      <c r="P74" s="24">
        <v>5300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 t="shared" si="28"/>
        <v>28290</v>
      </c>
      <c r="AA74" s="24">
        <v>29640</v>
      </c>
      <c r="AB74" s="20">
        <f t="shared" si="29"/>
        <v>-1350</v>
      </c>
      <c r="AC74" s="24" t="str">
        <f t="shared" si="20"/>
        <v/>
      </c>
      <c r="AD74" s="24" t="str">
        <f t="shared" si="21"/>
        <v/>
      </c>
      <c r="AE74" s="24" t="str">
        <f t="shared" si="22"/>
        <v/>
      </c>
      <c r="AF74" s="25" t="s">
        <v>326</v>
      </c>
    </row>
    <row r="75" spans="1:32" x14ac:dyDescent="0.25">
      <c r="A75" s="22" t="s">
        <v>157</v>
      </c>
      <c r="B75" s="22" t="s">
        <v>73</v>
      </c>
      <c r="C75" s="22" t="s">
        <v>44</v>
      </c>
      <c r="D75" s="23">
        <v>0.5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 t="shared" si="23"/>
        <v>0</v>
      </c>
      <c r="K75" s="24">
        <f t="shared" si="24"/>
        <v>13000</v>
      </c>
      <c r="L75" s="24">
        <f t="shared" si="25"/>
        <v>4000</v>
      </c>
      <c r="M75" s="24">
        <f t="shared" si="26"/>
        <v>0</v>
      </c>
      <c r="N75" s="24">
        <f t="shared" si="27"/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8000</v>
      </c>
      <c r="Z75" s="24">
        <f t="shared" si="28"/>
        <v>45930</v>
      </c>
      <c r="AA75" s="24">
        <v>15000</v>
      </c>
      <c r="AB75" s="20">
        <f t="shared" si="29"/>
        <v>30930</v>
      </c>
      <c r="AC75" s="24" t="str">
        <f t="shared" si="20"/>
        <v/>
      </c>
      <c r="AD75" s="24" t="str">
        <f t="shared" si="21"/>
        <v/>
      </c>
      <c r="AE75" s="24" t="str">
        <f t="shared" si="22"/>
        <v/>
      </c>
      <c r="AF75" s="25" t="s">
        <v>325</v>
      </c>
    </row>
    <row r="76" spans="1:32" x14ac:dyDescent="0.25">
      <c r="A76" s="22" t="s">
        <v>157</v>
      </c>
      <c r="B76" s="22" t="s">
        <v>158</v>
      </c>
      <c r="C76" s="22" t="s">
        <v>44</v>
      </c>
      <c r="D76" s="23">
        <v>0.5</v>
      </c>
      <c r="E76" s="24">
        <v>0</v>
      </c>
      <c r="F76" s="24">
        <v>26000</v>
      </c>
      <c r="G76" s="24">
        <v>4000</v>
      </c>
      <c r="H76" s="24">
        <v>0</v>
      </c>
      <c r="I76" s="24">
        <v>0</v>
      </c>
      <c r="J76" s="24">
        <f t="shared" si="23"/>
        <v>0</v>
      </c>
      <c r="K76" s="24">
        <f t="shared" si="24"/>
        <v>13000</v>
      </c>
      <c r="L76" s="24">
        <f t="shared" si="25"/>
        <v>4000</v>
      </c>
      <c r="M76" s="24">
        <f t="shared" si="26"/>
        <v>0</v>
      </c>
      <c r="N76" s="24">
        <f t="shared" si="27"/>
        <v>0</v>
      </c>
      <c r="O76" s="24">
        <v>13380</v>
      </c>
      <c r="P76" s="24">
        <v>7550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8000</v>
      </c>
      <c r="Z76" s="24">
        <f t="shared" si="28"/>
        <v>45930</v>
      </c>
      <c r="AA76" s="24">
        <v>15000</v>
      </c>
      <c r="AB76" s="20">
        <f t="shared" si="29"/>
        <v>30930</v>
      </c>
      <c r="AC76" s="24" t="str">
        <f t="shared" si="20"/>
        <v/>
      </c>
      <c r="AD76" s="24" t="str">
        <f t="shared" si="21"/>
        <v/>
      </c>
      <c r="AE76" s="24" t="str">
        <f t="shared" si="22"/>
        <v/>
      </c>
      <c r="AF76" s="25" t="s">
        <v>325</v>
      </c>
    </row>
    <row r="77" spans="1:32" x14ac:dyDescent="0.25">
      <c r="A77" s="22" t="s">
        <v>157</v>
      </c>
      <c r="B77" s="22" t="s">
        <v>222</v>
      </c>
      <c r="C77" s="22" t="s">
        <v>59</v>
      </c>
      <c r="D77" s="23">
        <v>0.5</v>
      </c>
      <c r="E77" s="24">
        <v>0</v>
      </c>
      <c r="F77" s="24">
        <v>28000</v>
      </c>
      <c r="G77" s="24">
        <v>4000</v>
      </c>
      <c r="H77" s="24">
        <v>0</v>
      </c>
      <c r="I77" s="24">
        <v>5000</v>
      </c>
      <c r="J77" s="24">
        <f t="shared" si="23"/>
        <v>0</v>
      </c>
      <c r="K77" s="24">
        <f t="shared" si="24"/>
        <v>14000</v>
      </c>
      <c r="L77" s="24">
        <f t="shared" si="25"/>
        <v>4000</v>
      </c>
      <c r="M77" s="24">
        <f t="shared" si="26"/>
        <v>0</v>
      </c>
      <c r="N77" s="24">
        <f t="shared" si="27"/>
        <v>2500</v>
      </c>
      <c r="O77" s="24">
        <v>27330</v>
      </c>
      <c r="P77" s="24">
        <v>13230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8080</v>
      </c>
      <c r="Z77" s="24">
        <f t="shared" si="28"/>
        <v>69140</v>
      </c>
      <c r="AA77" s="24">
        <v>20000</v>
      </c>
      <c r="AB77" s="20">
        <f t="shared" si="29"/>
        <v>49140</v>
      </c>
      <c r="AC77" s="24" t="str">
        <f t="shared" si="20"/>
        <v/>
      </c>
      <c r="AD77" s="24" t="str">
        <f t="shared" si="21"/>
        <v/>
      </c>
      <c r="AE77" s="24" t="str">
        <f t="shared" si="22"/>
        <v/>
      </c>
      <c r="AF77" s="25" t="s">
        <v>325</v>
      </c>
    </row>
    <row r="78" spans="1:32" x14ac:dyDescent="0.25">
      <c r="A78" s="22" t="s">
        <v>171</v>
      </c>
      <c r="B78" s="22" t="s">
        <v>172</v>
      </c>
      <c r="C78" s="22" t="s">
        <v>49</v>
      </c>
      <c r="D78" s="23">
        <v>0</v>
      </c>
      <c r="E78" s="24">
        <v>0</v>
      </c>
      <c r="F78" s="24">
        <v>26000</v>
      </c>
      <c r="G78" s="24">
        <v>4000</v>
      </c>
      <c r="H78" s="24">
        <v>1000</v>
      </c>
      <c r="I78" s="24">
        <v>0</v>
      </c>
      <c r="J78" s="24">
        <f t="shared" si="23"/>
        <v>0</v>
      </c>
      <c r="K78" s="24">
        <f t="shared" si="24"/>
        <v>26000</v>
      </c>
      <c r="L78" s="24">
        <f t="shared" si="25"/>
        <v>4000</v>
      </c>
      <c r="M78" s="24">
        <f t="shared" si="26"/>
        <v>1000</v>
      </c>
      <c r="N78" s="24">
        <f t="shared" si="27"/>
        <v>0</v>
      </c>
      <c r="O78" s="24">
        <v>6840</v>
      </c>
      <c r="P78" s="24">
        <v>5300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 t="shared" si="28"/>
        <v>43140</v>
      </c>
      <c r="AA78" s="24">
        <v>0</v>
      </c>
      <c r="AB78" s="20">
        <f t="shared" si="29"/>
        <v>43140</v>
      </c>
      <c r="AC78" s="24" t="str">
        <f t="shared" si="20"/>
        <v/>
      </c>
      <c r="AD78" s="24" t="str">
        <f t="shared" si="21"/>
        <v/>
      </c>
      <c r="AE78" s="24" t="str">
        <f t="shared" si="22"/>
        <v/>
      </c>
      <c r="AF78" s="25" t="s">
        <v>325</v>
      </c>
    </row>
    <row r="79" spans="1:32" x14ac:dyDescent="0.25">
      <c r="A79" s="22" t="s">
        <v>88</v>
      </c>
      <c r="B79" s="22" t="s">
        <v>206</v>
      </c>
      <c r="C79" s="22" t="s">
        <v>47</v>
      </c>
      <c r="D79" s="23">
        <v>0.25</v>
      </c>
      <c r="E79" s="24">
        <v>0</v>
      </c>
      <c r="F79" s="24">
        <v>26000</v>
      </c>
      <c r="G79" s="24">
        <v>4000</v>
      </c>
      <c r="H79" s="24">
        <v>0</v>
      </c>
      <c r="I79" s="24">
        <v>0</v>
      </c>
      <c r="J79" s="24">
        <f t="shared" si="23"/>
        <v>0</v>
      </c>
      <c r="K79" s="24">
        <f t="shared" si="24"/>
        <v>19500</v>
      </c>
      <c r="L79" s="24">
        <f t="shared" si="25"/>
        <v>4000</v>
      </c>
      <c r="M79" s="24">
        <f t="shared" si="26"/>
        <v>0</v>
      </c>
      <c r="N79" s="24">
        <f t="shared" si="27"/>
        <v>0</v>
      </c>
      <c r="O79" s="24">
        <v>24930</v>
      </c>
      <c r="P79" s="24">
        <v>10730</v>
      </c>
      <c r="Q79" s="24">
        <v>0</v>
      </c>
      <c r="R79" s="24">
        <v>0</v>
      </c>
      <c r="S79" s="24">
        <v>0</v>
      </c>
      <c r="T79" s="24">
        <v>6000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f t="shared" si="28"/>
        <v>65160</v>
      </c>
      <c r="AA79" s="24">
        <v>65160</v>
      </c>
      <c r="AB79" s="20">
        <f t="shared" si="29"/>
        <v>0</v>
      </c>
      <c r="AC79" s="24">
        <f t="shared" si="20"/>
        <v>6000</v>
      </c>
      <c r="AD79" s="24" t="str">
        <f t="shared" si="21"/>
        <v/>
      </c>
      <c r="AE79" s="24" t="str">
        <f t="shared" si="22"/>
        <v/>
      </c>
      <c r="AF79" s="25" t="s">
        <v>325</v>
      </c>
    </row>
    <row r="80" spans="1:32" x14ac:dyDescent="0.25">
      <c r="A80" s="22" t="s">
        <v>88</v>
      </c>
      <c r="B80" s="22" t="s">
        <v>219</v>
      </c>
      <c r="C80" s="22" t="s">
        <v>49</v>
      </c>
      <c r="D80" s="23">
        <v>0.25</v>
      </c>
      <c r="E80" s="24">
        <v>0</v>
      </c>
      <c r="F80" s="24">
        <v>26000</v>
      </c>
      <c r="G80" s="24">
        <v>4000</v>
      </c>
      <c r="H80" s="24">
        <v>1000</v>
      </c>
      <c r="I80" s="24">
        <v>0</v>
      </c>
      <c r="J80" s="24">
        <f t="shared" si="23"/>
        <v>0</v>
      </c>
      <c r="K80" s="24">
        <f t="shared" si="24"/>
        <v>19500</v>
      </c>
      <c r="L80" s="24">
        <f t="shared" si="25"/>
        <v>4000</v>
      </c>
      <c r="M80" s="24">
        <f t="shared" si="26"/>
        <v>750</v>
      </c>
      <c r="N80" s="24">
        <f t="shared" si="27"/>
        <v>0</v>
      </c>
      <c r="O80" s="24">
        <v>6840</v>
      </c>
      <c r="P80" s="24">
        <v>5300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-500</v>
      </c>
      <c r="Z80" s="24">
        <f t="shared" si="28"/>
        <v>35890</v>
      </c>
      <c r="AA80" s="24">
        <v>35890</v>
      </c>
      <c r="AB80" s="20">
        <f t="shared" si="29"/>
        <v>0</v>
      </c>
      <c r="AC80" s="24" t="str">
        <f t="shared" si="20"/>
        <v/>
      </c>
      <c r="AD80" s="24" t="str">
        <f t="shared" si="21"/>
        <v/>
      </c>
      <c r="AE80" s="24" t="str">
        <f t="shared" si="22"/>
        <v/>
      </c>
      <c r="AF80" s="25" t="s">
        <v>325</v>
      </c>
    </row>
    <row r="81" spans="1:32" x14ac:dyDescent="0.25">
      <c r="A81" s="22" t="s">
        <v>159</v>
      </c>
      <c r="B81" s="22" t="s">
        <v>160</v>
      </c>
      <c r="C81" s="22" t="s">
        <v>44</v>
      </c>
      <c r="D81" s="23">
        <v>0.25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 t="shared" si="23"/>
        <v>0</v>
      </c>
      <c r="K81" s="24">
        <f t="shared" si="24"/>
        <v>19500</v>
      </c>
      <c r="L81" s="24">
        <f t="shared" si="25"/>
        <v>4000</v>
      </c>
      <c r="M81" s="24">
        <f t="shared" si="26"/>
        <v>0</v>
      </c>
      <c r="N81" s="24">
        <f t="shared" si="27"/>
        <v>0</v>
      </c>
      <c r="O81" s="24">
        <v>13380</v>
      </c>
      <c r="P81" s="24">
        <v>7550</v>
      </c>
      <c r="Q81" s="24">
        <v>0</v>
      </c>
      <c r="R81" s="24">
        <v>0</v>
      </c>
      <c r="S81" s="24">
        <v>0</v>
      </c>
      <c r="T81" s="24">
        <v>6000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f t="shared" si="28"/>
        <v>50430</v>
      </c>
      <c r="AA81" s="24">
        <v>0</v>
      </c>
      <c r="AB81" s="20">
        <f t="shared" si="29"/>
        <v>50430</v>
      </c>
      <c r="AC81" s="24" t="str">
        <f t="shared" si="20"/>
        <v/>
      </c>
      <c r="AD81" s="24" t="str">
        <f t="shared" si="21"/>
        <v/>
      </c>
      <c r="AE81" s="24" t="str">
        <f t="shared" si="22"/>
        <v/>
      </c>
      <c r="AF81" s="25" t="s">
        <v>325</v>
      </c>
    </row>
    <row r="82" spans="1:32" x14ac:dyDescent="0.25">
      <c r="A82" s="22" t="s">
        <v>159</v>
      </c>
      <c r="B82" s="22" t="s">
        <v>215</v>
      </c>
      <c r="C82" s="22" t="s">
        <v>49</v>
      </c>
      <c r="D82" s="23">
        <v>0.25</v>
      </c>
      <c r="E82" s="24">
        <v>0</v>
      </c>
      <c r="F82" s="24">
        <v>26000</v>
      </c>
      <c r="G82" s="24">
        <v>4000</v>
      </c>
      <c r="H82" s="24">
        <v>1000</v>
      </c>
      <c r="I82" s="24">
        <v>0</v>
      </c>
      <c r="J82" s="24">
        <f t="shared" si="23"/>
        <v>0</v>
      </c>
      <c r="K82" s="24">
        <f t="shared" si="24"/>
        <v>19500</v>
      </c>
      <c r="L82" s="24">
        <f t="shared" si="25"/>
        <v>4000</v>
      </c>
      <c r="M82" s="24">
        <f t="shared" si="26"/>
        <v>750</v>
      </c>
      <c r="N82" s="24">
        <f t="shared" si="27"/>
        <v>0</v>
      </c>
      <c r="O82" s="24">
        <v>6840</v>
      </c>
      <c r="P82" s="24">
        <v>5300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f t="shared" si="28"/>
        <v>36390</v>
      </c>
      <c r="AA82" s="24">
        <v>0</v>
      </c>
      <c r="AB82" s="20">
        <f t="shared" si="29"/>
        <v>36390</v>
      </c>
      <c r="AC82" s="24" t="str">
        <f t="shared" si="20"/>
        <v/>
      </c>
      <c r="AD82" s="24" t="str">
        <f t="shared" si="21"/>
        <v/>
      </c>
      <c r="AE82" s="24" t="str">
        <f t="shared" si="22"/>
        <v/>
      </c>
      <c r="AF82" s="25" t="s">
        <v>325</v>
      </c>
    </row>
    <row r="83" spans="1:32" x14ac:dyDescent="0.25">
      <c r="A83" s="22" t="s">
        <v>161</v>
      </c>
      <c r="B83" s="22" t="s">
        <v>163</v>
      </c>
      <c r="C83" s="22" t="s">
        <v>44</v>
      </c>
      <c r="D83" s="23">
        <v>0.25</v>
      </c>
      <c r="E83" s="24">
        <v>0</v>
      </c>
      <c r="F83" s="24">
        <v>26000</v>
      </c>
      <c r="G83" s="24">
        <v>4000</v>
      </c>
      <c r="H83" s="24">
        <v>0</v>
      </c>
      <c r="I83" s="24">
        <v>0</v>
      </c>
      <c r="J83" s="24">
        <f t="shared" si="23"/>
        <v>0</v>
      </c>
      <c r="K83" s="24">
        <f t="shared" si="24"/>
        <v>19500</v>
      </c>
      <c r="L83" s="24">
        <f t="shared" si="25"/>
        <v>4000</v>
      </c>
      <c r="M83" s="24">
        <f t="shared" si="26"/>
        <v>0</v>
      </c>
      <c r="N83" s="24">
        <f t="shared" si="27"/>
        <v>0</v>
      </c>
      <c r="O83" s="24">
        <v>13380</v>
      </c>
      <c r="P83" s="24">
        <v>4850</v>
      </c>
      <c r="Q83" s="24">
        <v>0</v>
      </c>
      <c r="R83" s="24">
        <v>0</v>
      </c>
      <c r="S83" s="24">
        <v>0</v>
      </c>
      <c r="T83" s="24">
        <v>6000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 t="shared" si="28"/>
        <v>47730</v>
      </c>
      <c r="AA83" s="24">
        <v>25000</v>
      </c>
      <c r="AB83" s="20">
        <f t="shared" si="29"/>
        <v>22730</v>
      </c>
      <c r="AC83" s="24" t="str">
        <f t="shared" si="20"/>
        <v/>
      </c>
      <c r="AD83" s="24" t="str">
        <f t="shared" si="21"/>
        <v/>
      </c>
      <c r="AE83" s="24" t="str">
        <f t="shared" si="22"/>
        <v/>
      </c>
      <c r="AF83" s="25" t="s">
        <v>325</v>
      </c>
    </row>
    <row r="84" spans="1:32" x14ac:dyDescent="0.25">
      <c r="A84" s="22" t="s">
        <v>161</v>
      </c>
      <c r="B84" s="22" t="s">
        <v>162</v>
      </c>
      <c r="C84" s="22" t="s">
        <v>46</v>
      </c>
      <c r="D84" s="23">
        <v>0.25</v>
      </c>
      <c r="E84" s="24">
        <v>0</v>
      </c>
      <c r="F84" s="24">
        <v>28000</v>
      </c>
      <c r="G84" s="24">
        <v>4000</v>
      </c>
      <c r="H84" s="24">
        <v>0</v>
      </c>
      <c r="I84" s="24">
        <v>5000</v>
      </c>
      <c r="J84" s="24">
        <f t="shared" si="23"/>
        <v>0</v>
      </c>
      <c r="K84" s="24">
        <f t="shared" si="24"/>
        <v>21000</v>
      </c>
      <c r="L84" s="24">
        <f t="shared" si="25"/>
        <v>4000</v>
      </c>
      <c r="M84" s="24">
        <f t="shared" si="26"/>
        <v>0</v>
      </c>
      <c r="N84" s="24">
        <f t="shared" si="27"/>
        <v>3750</v>
      </c>
      <c r="O84" s="24">
        <v>27310</v>
      </c>
      <c r="P84" s="24">
        <v>13230</v>
      </c>
      <c r="Q84" s="24">
        <v>0</v>
      </c>
      <c r="R84" s="24">
        <v>0</v>
      </c>
      <c r="S84" s="24">
        <v>0</v>
      </c>
      <c r="T84" s="24">
        <v>6000</v>
      </c>
      <c r="U84" s="24">
        <v>0</v>
      </c>
      <c r="V84" s="24">
        <v>0</v>
      </c>
      <c r="W84" s="24">
        <v>0</v>
      </c>
      <c r="X84" s="24">
        <v>0</v>
      </c>
      <c r="Y84" s="24">
        <v>-695</v>
      </c>
      <c r="Z84" s="24">
        <f t="shared" si="28"/>
        <v>74595</v>
      </c>
      <c r="AA84" s="24">
        <v>25000</v>
      </c>
      <c r="AB84" s="20">
        <f t="shared" si="29"/>
        <v>49595</v>
      </c>
      <c r="AC84" s="24" t="str">
        <f t="shared" si="20"/>
        <v/>
      </c>
      <c r="AD84" s="24" t="str">
        <f t="shared" si="21"/>
        <v/>
      </c>
      <c r="AE84" s="24" t="str">
        <f t="shared" si="22"/>
        <v/>
      </c>
      <c r="AF84" s="25" t="s">
        <v>325</v>
      </c>
    </row>
    <row r="85" spans="1:32" x14ac:dyDescent="0.25">
      <c r="A85" s="22" t="s">
        <v>351</v>
      </c>
      <c r="B85" s="22" t="s">
        <v>352</v>
      </c>
      <c r="C85" s="22" t="s">
        <v>48</v>
      </c>
      <c r="D85" s="23">
        <v>0</v>
      </c>
      <c r="E85" s="24">
        <v>2000</v>
      </c>
      <c r="F85" s="24">
        <v>28000</v>
      </c>
      <c r="G85" s="24">
        <v>4000</v>
      </c>
      <c r="H85" s="24">
        <v>2500</v>
      </c>
      <c r="I85" s="24">
        <v>5000</v>
      </c>
      <c r="J85" s="24">
        <f t="shared" si="23"/>
        <v>2000</v>
      </c>
      <c r="K85" s="24">
        <f t="shared" si="24"/>
        <v>28000</v>
      </c>
      <c r="L85" s="24">
        <f t="shared" si="25"/>
        <v>4000</v>
      </c>
      <c r="M85" s="24">
        <f t="shared" si="26"/>
        <v>2500</v>
      </c>
      <c r="N85" s="24">
        <f t="shared" si="27"/>
        <v>5000</v>
      </c>
      <c r="O85" s="24">
        <v>26150</v>
      </c>
      <c r="P85" s="24">
        <v>11330</v>
      </c>
      <c r="Q85" s="24">
        <v>16000</v>
      </c>
      <c r="R85" s="24">
        <v>8000</v>
      </c>
      <c r="S85" s="24">
        <v>7000</v>
      </c>
      <c r="T85" s="24">
        <v>6000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 t="shared" si="28"/>
        <v>115980</v>
      </c>
      <c r="AA85" s="24">
        <v>116000</v>
      </c>
      <c r="AB85" s="20">
        <f t="shared" si="29"/>
        <v>-20</v>
      </c>
      <c r="AC85" s="24">
        <f t="shared" si="20"/>
        <v>6000</v>
      </c>
      <c r="AD85" s="24" t="str">
        <f t="shared" si="21"/>
        <v/>
      </c>
      <c r="AE85" s="24" t="str">
        <f t="shared" si="22"/>
        <v/>
      </c>
      <c r="AF85" s="24"/>
    </row>
    <row r="86" spans="1:32" x14ac:dyDescent="0.25">
      <c r="A86" s="22" t="s">
        <v>385</v>
      </c>
      <c r="B86" s="22" t="s">
        <v>386</v>
      </c>
      <c r="C86" s="22" t="s">
        <v>248</v>
      </c>
      <c r="D86" s="23">
        <v>0.25</v>
      </c>
      <c r="E86" s="24">
        <v>2000</v>
      </c>
      <c r="F86" s="24">
        <v>28000</v>
      </c>
      <c r="G86" s="24">
        <v>4000</v>
      </c>
      <c r="H86" s="24">
        <v>2500</v>
      </c>
      <c r="I86" s="24">
        <v>5000</v>
      </c>
      <c r="J86" s="24">
        <f t="shared" si="23"/>
        <v>1500</v>
      </c>
      <c r="K86" s="24">
        <f t="shared" si="24"/>
        <v>21000</v>
      </c>
      <c r="L86" s="24">
        <f t="shared" si="25"/>
        <v>4000</v>
      </c>
      <c r="M86" s="24">
        <f t="shared" si="26"/>
        <v>1875</v>
      </c>
      <c r="N86" s="24">
        <f t="shared" si="27"/>
        <v>3750</v>
      </c>
      <c r="O86" s="24">
        <v>28790</v>
      </c>
      <c r="P86" s="24">
        <v>13230</v>
      </c>
      <c r="Q86" s="24">
        <v>16000</v>
      </c>
      <c r="R86" s="24">
        <v>8000</v>
      </c>
      <c r="S86" s="24">
        <v>7000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f t="shared" si="28"/>
        <v>105145</v>
      </c>
      <c r="AA86" s="24">
        <v>40000</v>
      </c>
      <c r="AB86" s="20">
        <f t="shared" si="29"/>
        <v>65145</v>
      </c>
      <c r="AC86" s="24" t="str">
        <f t="shared" si="20"/>
        <v/>
      </c>
      <c r="AD86" s="24" t="str">
        <f t="shared" si="21"/>
        <v/>
      </c>
      <c r="AE86" s="24" t="str">
        <f t="shared" si="22"/>
        <v/>
      </c>
      <c r="AF86" s="25"/>
    </row>
    <row r="87" spans="1:32" x14ac:dyDescent="0.25">
      <c r="A87" s="22" t="s">
        <v>237</v>
      </c>
      <c r="B87" s="22" t="s">
        <v>238</v>
      </c>
      <c r="C87" s="22" t="s">
        <v>44</v>
      </c>
      <c r="D87" s="23">
        <v>0</v>
      </c>
      <c r="E87" s="24">
        <v>0</v>
      </c>
      <c r="F87" s="24">
        <v>26000</v>
      </c>
      <c r="G87" s="24">
        <v>4000</v>
      </c>
      <c r="H87" s="24">
        <v>0</v>
      </c>
      <c r="I87" s="24">
        <v>0</v>
      </c>
      <c r="J87" s="24">
        <f t="shared" si="23"/>
        <v>0</v>
      </c>
      <c r="K87" s="24">
        <f t="shared" si="24"/>
        <v>26000</v>
      </c>
      <c r="L87" s="24">
        <f t="shared" si="25"/>
        <v>4000</v>
      </c>
      <c r="M87" s="24">
        <f t="shared" si="26"/>
        <v>0</v>
      </c>
      <c r="N87" s="24">
        <f t="shared" si="27"/>
        <v>0</v>
      </c>
      <c r="O87" s="24">
        <v>13380</v>
      </c>
      <c r="P87" s="24">
        <v>7550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14000</v>
      </c>
      <c r="Z87" s="24">
        <f t="shared" si="28"/>
        <v>64930</v>
      </c>
      <c r="AA87" s="24">
        <v>87000</v>
      </c>
      <c r="AB87" s="20">
        <f t="shared" si="29"/>
        <v>-22070</v>
      </c>
      <c r="AC87" s="24" t="str">
        <f t="shared" si="20"/>
        <v/>
      </c>
      <c r="AD87" s="24" t="str">
        <f t="shared" si="21"/>
        <v/>
      </c>
      <c r="AE87" s="24">
        <f t="shared" si="22"/>
        <v>0</v>
      </c>
      <c r="AF87" s="25" t="s">
        <v>325</v>
      </c>
    </row>
    <row r="88" spans="1:32" x14ac:dyDescent="0.25">
      <c r="A88" s="22" t="s">
        <v>89</v>
      </c>
      <c r="B88" s="22" t="s">
        <v>92</v>
      </c>
      <c r="C88" s="22" t="s">
        <v>36</v>
      </c>
      <c r="D88" s="23">
        <v>0.3</v>
      </c>
      <c r="E88" s="24">
        <v>0</v>
      </c>
      <c r="F88" s="24">
        <v>33000</v>
      </c>
      <c r="G88" s="24">
        <v>5000</v>
      </c>
      <c r="H88" s="24">
        <v>2000</v>
      </c>
      <c r="I88" s="24">
        <v>6000</v>
      </c>
      <c r="J88" s="24">
        <f t="shared" si="23"/>
        <v>0</v>
      </c>
      <c r="K88" s="24">
        <f t="shared" si="24"/>
        <v>23100</v>
      </c>
      <c r="L88" s="24">
        <f t="shared" si="25"/>
        <v>5000</v>
      </c>
      <c r="M88" s="24">
        <f t="shared" si="26"/>
        <v>1400</v>
      </c>
      <c r="N88" s="24">
        <f t="shared" si="27"/>
        <v>4200</v>
      </c>
      <c r="O88" s="24">
        <v>19500</v>
      </c>
      <c r="P88" s="24">
        <v>14330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 t="shared" si="28"/>
        <v>67530</v>
      </c>
      <c r="AA88" s="24">
        <v>30000</v>
      </c>
      <c r="AB88" s="20">
        <f t="shared" si="29"/>
        <v>37530</v>
      </c>
      <c r="AC88" s="24" t="str">
        <f t="shared" ref="AC88:AC119" si="30">IF(AND($T88=6000, ($T88+$W88-$AB88)&gt;=6000),T88,"")</f>
        <v/>
      </c>
      <c r="AD88" s="24" t="str">
        <f t="shared" ref="AD88:AD119" si="31">IF(AND($T88=8000, ($T88+$W88-$AB88)&gt;=8000),T88,"")</f>
        <v/>
      </c>
      <c r="AE88" s="24" t="str">
        <f t="shared" ref="AE88:AE119" si="32">IF(($T88+$W88-$AB88)&gt;=$T88+8000,W88,"")</f>
        <v/>
      </c>
      <c r="AF88" s="25" t="s">
        <v>325</v>
      </c>
    </row>
    <row r="89" spans="1:32" x14ac:dyDescent="0.25">
      <c r="A89" s="22" t="s">
        <v>89</v>
      </c>
      <c r="B89" s="22" t="s">
        <v>91</v>
      </c>
      <c r="C89" s="22" t="s">
        <v>46</v>
      </c>
      <c r="D89" s="23">
        <v>0.25</v>
      </c>
      <c r="E89" s="24">
        <v>0</v>
      </c>
      <c r="F89" s="24">
        <v>28000</v>
      </c>
      <c r="G89" s="24">
        <v>4000</v>
      </c>
      <c r="H89" s="24">
        <v>0</v>
      </c>
      <c r="I89" s="24">
        <v>5000</v>
      </c>
      <c r="J89" s="24">
        <f t="shared" si="23"/>
        <v>0</v>
      </c>
      <c r="K89" s="24">
        <f t="shared" si="24"/>
        <v>21000</v>
      </c>
      <c r="L89" s="24">
        <f t="shared" si="25"/>
        <v>4000</v>
      </c>
      <c r="M89" s="24">
        <f t="shared" si="26"/>
        <v>0</v>
      </c>
      <c r="N89" s="24">
        <f t="shared" si="27"/>
        <v>3750</v>
      </c>
      <c r="O89" s="24">
        <v>27310</v>
      </c>
      <c r="P89" s="24">
        <v>10740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450</v>
      </c>
      <c r="Z89" s="24">
        <f t="shared" si="28"/>
        <v>67250</v>
      </c>
      <c r="AA89" s="24">
        <v>38790</v>
      </c>
      <c r="AB89" s="20">
        <f t="shared" si="29"/>
        <v>28460</v>
      </c>
      <c r="AC89" s="24" t="str">
        <f t="shared" si="30"/>
        <v/>
      </c>
      <c r="AD89" s="24" t="str">
        <f t="shared" si="31"/>
        <v/>
      </c>
      <c r="AE89" s="24" t="str">
        <f t="shared" si="32"/>
        <v/>
      </c>
      <c r="AF89" s="25" t="s">
        <v>325</v>
      </c>
    </row>
    <row r="90" spans="1:32" x14ac:dyDescent="0.25">
      <c r="A90" s="22" t="s">
        <v>89</v>
      </c>
      <c r="B90" s="22" t="s">
        <v>90</v>
      </c>
      <c r="C90" s="22" t="s">
        <v>70</v>
      </c>
      <c r="D90" s="23">
        <v>1</v>
      </c>
      <c r="E90" s="24">
        <v>0</v>
      </c>
      <c r="F90" s="24">
        <v>40000</v>
      </c>
      <c r="G90" s="24">
        <v>5000</v>
      </c>
      <c r="H90" s="24">
        <v>2000</v>
      </c>
      <c r="I90" s="24">
        <v>8000</v>
      </c>
      <c r="J90" s="24">
        <f t="shared" si="23"/>
        <v>0</v>
      </c>
      <c r="K90" s="24">
        <f t="shared" si="24"/>
        <v>0</v>
      </c>
      <c r="L90" s="24">
        <f t="shared" si="25"/>
        <v>5000</v>
      </c>
      <c r="M90" s="24">
        <f t="shared" si="26"/>
        <v>0</v>
      </c>
      <c r="N90" s="24">
        <f t="shared" si="27"/>
        <v>0</v>
      </c>
      <c r="O90" s="24">
        <v>11880</v>
      </c>
      <c r="P90" s="24">
        <v>14330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 t="shared" si="28"/>
        <v>31210</v>
      </c>
      <c r="AA90" s="24">
        <v>31210</v>
      </c>
      <c r="AB90" s="20">
        <f t="shared" si="29"/>
        <v>0</v>
      </c>
      <c r="AC90" s="24" t="str">
        <f t="shared" si="30"/>
        <v/>
      </c>
      <c r="AD90" s="24" t="str">
        <f t="shared" si="31"/>
        <v/>
      </c>
      <c r="AE90" s="24" t="str">
        <f t="shared" si="32"/>
        <v/>
      </c>
      <c r="AF90" s="25" t="s">
        <v>325</v>
      </c>
    </row>
    <row r="91" spans="1:32" x14ac:dyDescent="0.25">
      <c r="A91" s="22" t="s">
        <v>93</v>
      </c>
      <c r="B91" s="22" t="s">
        <v>94</v>
      </c>
      <c r="C91" s="22" t="s">
        <v>44</v>
      </c>
      <c r="D91" s="23">
        <v>0</v>
      </c>
      <c r="E91" s="24">
        <v>0</v>
      </c>
      <c r="F91" s="24">
        <v>26000</v>
      </c>
      <c r="G91" s="24">
        <v>4000</v>
      </c>
      <c r="H91" s="24">
        <v>0</v>
      </c>
      <c r="I91" s="24">
        <v>0</v>
      </c>
      <c r="J91" s="24">
        <f t="shared" si="23"/>
        <v>0</v>
      </c>
      <c r="K91" s="24">
        <f t="shared" si="24"/>
        <v>26000</v>
      </c>
      <c r="L91" s="24">
        <f t="shared" si="25"/>
        <v>4000</v>
      </c>
      <c r="M91" s="24">
        <f t="shared" si="26"/>
        <v>0</v>
      </c>
      <c r="N91" s="24">
        <f t="shared" si="27"/>
        <v>0</v>
      </c>
      <c r="O91" s="24">
        <v>13380</v>
      </c>
      <c r="P91" s="24">
        <v>7550</v>
      </c>
      <c r="Q91" s="24">
        <v>8000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7000</v>
      </c>
      <c r="Z91" s="24">
        <f t="shared" si="28"/>
        <v>65930</v>
      </c>
      <c r="AA91" s="24">
        <v>0</v>
      </c>
      <c r="AB91" s="20">
        <f t="shared" si="29"/>
        <v>65930</v>
      </c>
      <c r="AC91" s="24" t="str">
        <f t="shared" si="30"/>
        <v/>
      </c>
      <c r="AD91" s="24" t="str">
        <f t="shared" si="31"/>
        <v/>
      </c>
      <c r="AE91" s="24" t="str">
        <f t="shared" si="32"/>
        <v/>
      </c>
      <c r="AF91" s="25" t="s">
        <v>325</v>
      </c>
    </row>
    <row r="92" spans="1:32" x14ac:dyDescent="0.25">
      <c r="A92" s="22" t="s">
        <v>405</v>
      </c>
      <c r="B92" s="22" t="s">
        <v>406</v>
      </c>
      <c r="C92" s="22" t="s">
        <v>332</v>
      </c>
      <c r="D92" s="23">
        <v>0</v>
      </c>
      <c r="E92" s="24">
        <v>3000</v>
      </c>
      <c r="F92" s="24">
        <v>33000</v>
      </c>
      <c r="G92" s="24">
        <v>5000</v>
      </c>
      <c r="H92" s="24">
        <v>2000</v>
      </c>
      <c r="I92" s="24">
        <v>6000</v>
      </c>
      <c r="J92" s="24">
        <f t="shared" si="23"/>
        <v>3000</v>
      </c>
      <c r="K92" s="24">
        <f t="shared" si="24"/>
        <v>33000</v>
      </c>
      <c r="L92" s="24">
        <f t="shared" si="25"/>
        <v>5000</v>
      </c>
      <c r="M92" s="24">
        <f t="shared" si="26"/>
        <v>2000</v>
      </c>
      <c r="N92" s="24">
        <f t="shared" si="27"/>
        <v>6000</v>
      </c>
      <c r="O92" s="24">
        <v>19320</v>
      </c>
      <c r="P92" s="24">
        <v>16190</v>
      </c>
      <c r="Q92" s="24">
        <v>12000</v>
      </c>
      <c r="R92" s="24">
        <v>8000</v>
      </c>
      <c r="S92" s="24">
        <v>8000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 t="shared" si="28"/>
        <v>112510</v>
      </c>
      <c r="AA92" s="24">
        <v>90000</v>
      </c>
      <c r="AB92" s="20">
        <f t="shared" si="29"/>
        <v>22510</v>
      </c>
      <c r="AC92" s="24" t="str">
        <f t="shared" si="30"/>
        <v/>
      </c>
      <c r="AD92" s="24" t="str">
        <f t="shared" si="31"/>
        <v/>
      </c>
      <c r="AE92" s="24" t="str">
        <f t="shared" si="32"/>
        <v/>
      </c>
      <c r="AF92" s="25"/>
    </row>
    <row r="93" spans="1:32" x14ac:dyDescent="0.25">
      <c r="A93" s="22" t="s">
        <v>207</v>
      </c>
      <c r="B93" s="22" t="s">
        <v>217</v>
      </c>
      <c r="C93" s="22" t="s">
        <v>49</v>
      </c>
      <c r="D93" s="23">
        <v>0.25</v>
      </c>
      <c r="E93" s="24">
        <v>0</v>
      </c>
      <c r="F93" s="24">
        <v>26000</v>
      </c>
      <c r="G93" s="24">
        <v>4000</v>
      </c>
      <c r="H93" s="24">
        <v>1000</v>
      </c>
      <c r="I93" s="24">
        <v>0</v>
      </c>
      <c r="J93" s="24">
        <f t="shared" si="23"/>
        <v>0</v>
      </c>
      <c r="K93" s="24">
        <f t="shared" si="24"/>
        <v>19500</v>
      </c>
      <c r="L93" s="24">
        <f t="shared" si="25"/>
        <v>4000</v>
      </c>
      <c r="M93" s="24">
        <f t="shared" si="26"/>
        <v>750</v>
      </c>
      <c r="N93" s="24">
        <f t="shared" si="27"/>
        <v>0</v>
      </c>
      <c r="O93" s="24">
        <v>6840</v>
      </c>
      <c r="P93" s="24">
        <v>5300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19200</v>
      </c>
      <c r="Z93" s="24">
        <f t="shared" si="28"/>
        <v>55590</v>
      </c>
      <c r="AA93" s="24">
        <v>25000</v>
      </c>
      <c r="AB93" s="20">
        <f t="shared" si="29"/>
        <v>30590</v>
      </c>
      <c r="AC93" s="24" t="str">
        <f t="shared" si="30"/>
        <v/>
      </c>
      <c r="AD93" s="24" t="str">
        <f t="shared" si="31"/>
        <v/>
      </c>
      <c r="AE93" s="24" t="str">
        <f t="shared" si="32"/>
        <v/>
      </c>
      <c r="AF93" s="25" t="s">
        <v>325</v>
      </c>
    </row>
    <row r="94" spans="1:32" x14ac:dyDescent="0.25">
      <c r="A94" s="22" t="s">
        <v>207</v>
      </c>
      <c r="B94" s="22" t="s">
        <v>216</v>
      </c>
      <c r="C94" s="22" t="s">
        <v>49</v>
      </c>
      <c r="D94" s="23">
        <v>0.25</v>
      </c>
      <c r="E94" s="24">
        <v>0</v>
      </c>
      <c r="F94" s="24">
        <v>26000</v>
      </c>
      <c r="G94" s="24">
        <v>4000</v>
      </c>
      <c r="H94" s="24">
        <v>1000</v>
      </c>
      <c r="I94" s="24">
        <v>0</v>
      </c>
      <c r="J94" s="24">
        <f t="shared" si="23"/>
        <v>0</v>
      </c>
      <c r="K94" s="24">
        <f t="shared" si="24"/>
        <v>19500</v>
      </c>
      <c r="L94" s="24">
        <f t="shared" si="25"/>
        <v>4000</v>
      </c>
      <c r="M94" s="24">
        <f t="shared" si="26"/>
        <v>750</v>
      </c>
      <c r="N94" s="24">
        <f t="shared" si="27"/>
        <v>0</v>
      </c>
      <c r="O94" s="24">
        <v>6840</v>
      </c>
      <c r="P94" s="24">
        <v>5300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19200</v>
      </c>
      <c r="Z94" s="24">
        <f t="shared" si="28"/>
        <v>55590</v>
      </c>
      <c r="AA94" s="24">
        <v>25000</v>
      </c>
      <c r="AB94" s="20">
        <f t="shared" si="29"/>
        <v>30590</v>
      </c>
      <c r="AC94" s="24" t="str">
        <f t="shared" si="30"/>
        <v/>
      </c>
      <c r="AD94" s="24" t="str">
        <f t="shared" si="31"/>
        <v/>
      </c>
      <c r="AE94" s="24" t="str">
        <f t="shared" si="32"/>
        <v/>
      </c>
      <c r="AF94" s="25" t="s">
        <v>325</v>
      </c>
    </row>
    <row r="95" spans="1:32" x14ac:dyDescent="0.25">
      <c r="A95" s="22" t="s">
        <v>349</v>
      </c>
      <c r="B95" s="22" t="s">
        <v>350</v>
      </c>
      <c r="C95" s="22" t="s">
        <v>44</v>
      </c>
      <c r="D95" s="23">
        <v>0</v>
      </c>
      <c r="E95" s="24">
        <v>2000</v>
      </c>
      <c r="F95" s="24">
        <v>26000</v>
      </c>
      <c r="G95" s="24">
        <v>4000</v>
      </c>
      <c r="H95" s="24">
        <v>1000</v>
      </c>
      <c r="I95" s="24">
        <v>0</v>
      </c>
      <c r="J95" s="24">
        <f t="shared" si="23"/>
        <v>2000</v>
      </c>
      <c r="K95" s="24">
        <f t="shared" si="24"/>
        <v>26000</v>
      </c>
      <c r="L95" s="24">
        <f t="shared" si="25"/>
        <v>4000</v>
      </c>
      <c r="M95" s="24">
        <f t="shared" si="26"/>
        <v>1000</v>
      </c>
      <c r="N95" s="24">
        <f t="shared" si="27"/>
        <v>0</v>
      </c>
      <c r="O95" s="24">
        <v>13380</v>
      </c>
      <c r="P95" s="24">
        <v>7550</v>
      </c>
      <c r="Q95" s="24">
        <v>16000</v>
      </c>
      <c r="R95" s="24">
        <v>8000</v>
      </c>
      <c r="S95" s="24">
        <v>7000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 t="shared" si="28"/>
        <v>84930</v>
      </c>
      <c r="AA95" s="24">
        <v>0</v>
      </c>
      <c r="AB95" s="20">
        <f t="shared" si="29"/>
        <v>84930</v>
      </c>
      <c r="AC95" s="24" t="str">
        <f t="shared" si="30"/>
        <v/>
      </c>
      <c r="AD95" s="24" t="str">
        <f t="shared" si="31"/>
        <v/>
      </c>
      <c r="AE95" s="24" t="str">
        <f t="shared" si="32"/>
        <v/>
      </c>
      <c r="AF95" s="24"/>
    </row>
    <row r="96" spans="1:32" x14ac:dyDescent="0.25">
      <c r="A96" s="22" t="s">
        <v>288</v>
      </c>
      <c r="B96" s="22" t="s">
        <v>290</v>
      </c>
      <c r="C96" s="22" t="s">
        <v>47</v>
      </c>
      <c r="D96" s="23">
        <v>0.25</v>
      </c>
      <c r="E96" s="24">
        <v>2000</v>
      </c>
      <c r="F96" s="24">
        <v>26000</v>
      </c>
      <c r="G96" s="24">
        <v>4000</v>
      </c>
      <c r="H96" s="24">
        <v>1000</v>
      </c>
      <c r="I96" s="24">
        <v>0</v>
      </c>
      <c r="J96" s="24">
        <f t="shared" si="23"/>
        <v>1500</v>
      </c>
      <c r="K96" s="24">
        <f t="shared" si="24"/>
        <v>19500</v>
      </c>
      <c r="L96" s="24">
        <f t="shared" si="25"/>
        <v>4000</v>
      </c>
      <c r="M96" s="24">
        <f t="shared" si="26"/>
        <v>750</v>
      </c>
      <c r="N96" s="24">
        <f t="shared" si="27"/>
        <v>0</v>
      </c>
      <c r="O96" s="24">
        <v>24930</v>
      </c>
      <c r="P96" s="24">
        <v>10730</v>
      </c>
      <c r="Q96" s="24">
        <v>16000</v>
      </c>
      <c r="R96" s="24">
        <v>8000</v>
      </c>
      <c r="S96" s="24">
        <v>7000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 t="shared" si="28"/>
        <v>92410</v>
      </c>
      <c r="AA96" s="24">
        <v>13670</v>
      </c>
      <c r="AB96" s="20">
        <f t="shared" si="29"/>
        <v>78740</v>
      </c>
      <c r="AC96" s="24" t="str">
        <f t="shared" si="30"/>
        <v/>
      </c>
      <c r="AD96" s="24" t="str">
        <f t="shared" si="31"/>
        <v/>
      </c>
      <c r="AE96" s="24" t="str">
        <f t="shared" si="32"/>
        <v/>
      </c>
      <c r="AF96" s="25" t="s">
        <v>325</v>
      </c>
    </row>
    <row r="97" spans="1:32" x14ac:dyDescent="0.25">
      <c r="A97" s="22" t="s">
        <v>288</v>
      </c>
      <c r="B97" s="22" t="s">
        <v>289</v>
      </c>
      <c r="C97" s="22" t="s">
        <v>49</v>
      </c>
      <c r="D97" s="23">
        <v>0.25</v>
      </c>
      <c r="E97" s="24">
        <v>2000</v>
      </c>
      <c r="F97" s="24">
        <v>26000</v>
      </c>
      <c r="G97" s="24">
        <v>4000</v>
      </c>
      <c r="H97" s="24">
        <v>1000</v>
      </c>
      <c r="I97" s="24">
        <v>0</v>
      </c>
      <c r="J97" s="24">
        <f t="shared" si="23"/>
        <v>1500</v>
      </c>
      <c r="K97" s="24">
        <f t="shared" si="24"/>
        <v>19500</v>
      </c>
      <c r="L97" s="24">
        <f t="shared" si="25"/>
        <v>4000</v>
      </c>
      <c r="M97" s="24">
        <f t="shared" si="26"/>
        <v>750</v>
      </c>
      <c r="N97" s="24">
        <f t="shared" si="27"/>
        <v>0</v>
      </c>
      <c r="O97" s="24">
        <v>6840</v>
      </c>
      <c r="P97" s="24">
        <v>5300</v>
      </c>
      <c r="Q97" s="24">
        <v>16000</v>
      </c>
      <c r="R97" s="24">
        <v>8000</v>
      </c>
      <c r="S97" s="24">
        <v>7000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 t="shared" si="28"/>
        <v>68890</v>
      </c>
      <c r="AA97" s="24">
        <v>81330</v>
      </c>
      <c r="AB97" s="20">
        <f t="shared" si="29"/>
        <v>-12440</v>
      </c>
      <c r="AC97" s="24" t="str">
        <f t="shared" si="30"/>
        <v/>
      </c>
      <c r="AD97" s="24" t="str">
        <f t="shared" si="31"/>
        <v/>
      </c>
      <c r="AE97" s="24">
        <f t="shared" si="32"/>
        <v>0</v>
      </c>
      <c r="AF97" s="25" t="s">
        <v>326</v>
      </c>
    </row>
    <row r="98" spans="1:32" x14ac:dyDescent="0.25">
      <c r="A98" s="22" t="s">
        <v>95</v>
      </c>
      <c r="B98" s="22" t="s">
        <v>96</v>
      </c>
      <c r="C98" s="22" t="s">
        <v>52</v>
      </c>
      <c r="D98" s="23">
        <v>0</v>
      </c>
      <c r="E98" s="24">
        <v>0</v>
      </c>
      <c r="F98" s="24">
        <v>40000</v>
      </c>
      <c r="G98" s="24">
        <v>5000</v>
      </c>
      <c r="H98" s="24">
        <v>2000</v>
      </c>
      <c r="I98" s="24">
        <v>8000</v>
      </c>
      <c r="J98" s="24">
        <f t="shared" ref="J98:J129" si="33">(1-$D98)*E98</f>
        <v>0</v>
      </c>
      <c r="K98" s="24">
        <f t="shared" ref="K98:K129" si="34">(1-$D98)*F98</f>
        <v>40000</v>
      </c>
      <c r="L98" s="24">
        <f t="shared" ref="L98:L129" si="35">G98</f>
        <v>5000</v>
      </c>
      <c r="M98" s="24">
        <f t="shared" ref="M98:M129" si="36">(1-$D98)*H98</f>
        <v>2000</v>
      </c>
      <c r="N98" s="24">
        <f t="shared" ref="N98:N129" si="37">(1-$D98)*I98</f>
        <v>8000</v>
      </c>
      <c r="O98" s="24">
        <v>11880</v>
      </c>
      <c r="P98" s="24">
        <v>14330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5830</v>
      </c>
      <c r="Z98" s="24">
        <f t="shared" ref="Z98:Z129" si="38">SUM(J98:Y98)</f>
        <v>87040</v>
      </c>
      <c r="AA98" s="24">
        <v>0</v>
      </c>
      <c r="AB98" s="20">
        <f t="shared" ref="AB98:AB129" si="39">Z98-AA98</f>
        <v>87040</v>
      </c>
      <c r="AC98" s="24" t="str">
        <f t="shared" si="30"/>
        <v/>
      </c>
      <c r="AD98" s="24" t="str">
        <f t="shared" si="31"/>
        <v/>
      </c>
      <c r="AE98" s="24" t="str">
        <f t="shared" si="32"/>
        <v/>
      </c>
      <c r="AF98" s="25" t="s">
        <v>325</v>
      </c>
    </row>
    <row r="99" spans="1:32" x14ac:dyDescent="0.25">
      <c r="A99" s="22" t="s">
        <v>98</v>
      </c>
      <c r="B99" s="22" t="s">
        <v>145</v>
      </c>
      <c r="C99" s="22" t="s">
        <v>49</v>
      </c>
      <c r="D99" s="23">
        <v>0.25</v>
      </c>
      <c r="E99" s="24">
        <v>0</v>
      </c>
      <c r="F99" s="24">
        <v>26000</v>
      </c>
      <c r="G99" s="24">
        <v>4000</v>
      </c>
      <c r="H99" s="24">
        <v>1000</v>
      </c>
      <c r="I99" s="24">
        <v>0</v>
      </c>
      <c r="J99" s="24">
        <f t="shared" si="33"/>
        <v>0</v>
      </c>
      <c r="K99" s="24">
        <f t="shared" si="34"/>
        <v>19500</v>
      </c>
      <c r="L99" s="24">
        <f t="shared" si="35"/>
        <v>4000</v>
      </c>
      <c r="M99" s="24">
        <f t="shared" si="36"/>
        <v>750</v>
      </c>
      <c r="N99" s="24">
        <f t="shared" si="37"/>
        <v>0</v>
      </c>
      <c r="O99" s="24">
        <v>6840</v>
      </c>
      <c r="P99" s="24">
        <v>5300</v>
      </c>
      <c r="Q99" s="24">
        <v>16000</v>
      </c>
      <c r="R99" s="24">
        <v>8000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f t="shared" si="38"/>
        <v>60390</v>
      </c>
      <c r="AA99" s="24">
        <v>40000</v>
      </c>
      <c r="AB99" s="20">
        <f t="shared" si="39"/>
        <v>20390</v>
      </c>
      <c r="AC99" s="24" t="str">
        <f t="shared" si="30"/>
        <v/>
      </c>
      <c r="AD99" s="24" t="str">
        <f t="shared" si="31"/>
        <v/>
      </c>
      <c r="AE99" s="24" t="str">
        <f t="shared" si="32"/>
        <v/>
      </c>
      <c r="AF99" s="25" t="s">
        <v>325</v>
      </c>
    </row>
    <row r="100" spans="1:32" x14ac:dyDescent="0.25">
      <c r="A100" s="22" t="s">
        <v>98</v>
      </c>
      <c r="B100" s="22" t="s">
        <v>99</v>
      </c>
      <c r="C100" s="22" t="s">
        <v>33</v>
      </c>
      <c r="D100" s="23">
        <v>0.25</v>
      </c>
      <c r="E100" s="24">
        <v>0</v>
      </c>
      <c r="F100" s="24">
        <v>28000</v>
      </c>
      <c r="G100" s="24">
        <v>4000</v>
      </c>
      <c r="H100" s="24">
        <v>2500</v>
      </c>
      <c r="I100" s="24">
        <v>5000</v>
      </c>
      <c r="J100" s="24">
        <f t="shared" si="33"/>
        <v>0</v>
      </c>
      <c r="K100" s="24">
        <f t="shared" si="34"/>
        <v>21000</v>
      </c>
      <c r="L100" s="24">
        <f t="shared" si="35"/>
        <v>4000</v>
      </c>
      <c r="M100" s="24">
        <f t="shared" si="36"/>
        <v>1875</v>
      </c>
      <c r="N100" s="24">
        <f t="shared" si="37"/>
        <v>3750</v>
      </c>
      <c r="O100" s="24">
        <v>25970</v>
      </c>
      <c r="P100" s="24">
        <v>11330</v>
      </c>
      <c r="Q100" s="24">
        <v>16000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 t="shared" si="38"/>
        <v>83925</v>
      </c>
      <c r="AA100" s="24">
        <v>40000</v>
      </c>
      <c r="AB100" s="20">
        <f t="shared" si="39"/>
        <v>43925</v>
      </c>
      <c r="AC100" s="24" t="str">
        <f t="shared" si="30"/>
        <v/>
      </c>
      <c r="AD100" s="24" t="str">
        <f t="shared" si="31"/>
        <v/>
      </c>
      <c r="AE100" s="24" t="str">
        <f t="shared" si="32"/>
        <v/>
      </c>
      <c r="AF100" s="25" t="s">
        <v>325</v>
      </c>
    </row>
    <row r="101" spans="1:32" x14ac:dyDescent="0.25">
      <c r="A101" s="22" t="s">
        <v>100</v>
      </c>
      <c r="B101" s="22" t="s">
        <v>101</v>
      </c>
      <c r="C101" s="22" t="s">
        <v>44</v>
      </c>
      <c r="D101" s="23">
        <v>0</v>
      </c>
      <c r="E101" s="24">
        <v>0</v>
      </c>
      <c r="F101" s="24">
        <v>26000</v>
      </c>
      <c r="G101" s="24">
        <v>4000</v>
      </c>
      <c r="H101" s="24">
        <v>0</v>
      </c>
      <c r="I101" s="24">
        <v>0</v>
      </c>
      <c r="J101" s="24">
        <f t="shared" si="33"/>
        <v>0</v>
      </c>
      <c r="K101" s="24">
        <f t="shared" si="34"/>
        <v>26000</v>
      </c>
      <c r="L101" s="24">
        <f t="shared" si="35"/>
        <v>4000</v>
      </c>
      <c r="M101" s="24">
        <f t="shared" si="36"/>
        <v>0</v>
      </c>
      <c r="N101" s="24">
        <f t="shared" si="37"/>
        <v>0</v>
      </c>
      <c r="O101" s="24">
        <v>13380</v>
      </c>
      <c r="P101" s="24">
        <v>7550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-3030</v>
      </c>
      <c r="Z101" s="24">
        <f t="shared" si="38"/>
        <v>47900</v>
      </c>
      <c r="AA101" s="24">
        <v>27900</v>
      </c>
      <c r="AB101" s="20">
        <f t="shared" si="39"/>
        <v>20000</v>
      </c>
      <c r="AC101" s="24" t="str">
        <f t="shared" si="30"/>
        <v/>
      </c>
      <c r="AD101" s="24" t="str">
        <f t="shared" si="31"/>
        <v/>
      </c>
      <c r="AE101" s="24" t="str">
        <f t="shared" si="32"/>
        <v/>
      </c>
      <c r="AF101" s="25" t="s">
        <v>325</v>
      </c>
    </row>
    <row r="102" spans="1:32" x14ac:dyDescent="0.25">
      <c r="A102" s="22" t="s">
        <v>387</v>
      </c>
      <c r="B102" s="22" t="s">
        <v>388</v>
      </c>
      <c r="C102" s="22" t="s">
        <v>44</v>
      </c>
      <c r="D102" s="23">
        <v>0</v>
      </c>
      <c r="E102" s="24">
        <v>2000</v>
      </c>
      <c r="F102" s="24">
        <v>26000</v>
      </c>
      <c r="G102" s="24">
        <v>4000</v>
      </c>
      <c r="H102" s="24">
        <v>1000</v>
      </c>
      <c r="I102" s="24">
        <v>0</v>
      </c>
      <c r="J102" s="24">
        <f t="shared" si="33"/>
        <v>2000</v>
      </c>
      <c r="K102" s="24">
        <f t="shared" si="34"/>
        <v>26000</v>
      </c>
      <c r="L102" s="24">
        <f t="shared" si="35"/>
        <v>4000</v>
      </c>
      <c r="M102" s="24">
        <f t="shared" si="36"/>
        <v>1000</v>
      </c>
      <c r="N102" s="24">
        <f t="shared" si="37"/>
        <v>0</v>
      </c>
      <c r="O102" s="24">
        <v>13380</v>
      </c>
      <c r="P102" s="24">
        <v>7550</v>
      </c>
      <c r="Q102" s="24">
        <v>16000</v>
      </c>
      <c r="R102" s="24">
        <v>8000</v>
      </c>
      <c r="S102" s="24">
        <v>7000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 t="shared" si="38"/>
        <v>84930</v>
      </c>
      <c r="AA102" s="24">
        <v>40000</v>
      </c>
      <c r="AB102" s="20">
        <f t="shared" si="39"/>
        <v>44930</v>
      </c>
      <c r="AC102" s="24" t="str">
        <f t="shared" si="30"/>
        <v/>
      </c>
      <c r="AD102" s="24" t="str">
        <f t="shared" si="31"/>
        <v/>
      </c>
      <c r="AE102" s="24" t="str">
        <f t="shared" si="32"/>
        <v/>
      </c>
      <c r="AF102" s="24"/>
    </row>
    <row r="103" spans="1:32" x14ac:dyDescent="0.25">
      <c r="A103" s="22" t="s">
        <v>204</v>
      </c>
      <c r="B103" s="22" t="s">
        <v>205</v>
      </c>
      <c r="C103" s="22" t="s">
        <v>49</v>
      </c>
      <c r="D103" s="23">
        <v>0.25</v>
      </c>
      <c r="E103" s="24">
        <v>0</v>
      </c>
      <c r="F103" s="24">
        <v>26000</v>
      </c>
      <c r="G103" s="24">
        <v>4000</v>
      </c>
      <c r="H103" s="24">
        <v>1000</v>
      </c>
      <c r="I103" s="24">
        <v>0</v>
      </c>
      <c r="J103" s="24">
        <f t="shared" si="33"/>
        <v>0</v>
      </c>
      <c r="K103" s="24">
        <f t="shared" si="34"/>
        <v>19500</v>
      </c>
      <c r="L103" s="24">
        <f t="shared" si="35"/>
        <v>4000</v>
      </c>
      <c r="M103" s="24">
        <f t="shared" si="36"/>
        <v>750</v>
      </c>
      <c r="N103" s="24">
        <f t="shared" si="37"/>
        <v>0</v>
      </c>
      <c r="O103" s="24">
        <v>6840</v>
      </c>
      <c r="P103" s="24">
        <v>5300</v>
      </c>
      <c r="Q103" s="24">
        <v>0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3500</v>
      </c>
      <c r="Z103" s="24">
        <f t="shared" si="38"/>
        <v>39890</v>
      </c>
      <c r="AA103" s="24">
        <v>0</v>
      </c>
      <c r="AB103" s="20">
        <f t="shared" si="39"/>
        <v>39890</v>
      </c>
      <c r="AC103" s="24" t="str">
        <f t="shared" si="30"/>
        <v/>
      </c>
      <c r="AD103" s="24" t="str">
        <f t="shared" si="31"/>
        <v/>
      </c>
      <c r="AE103" s="24" t="str">
        <f t="shared" si="32"/>
        <v/>
      </c>
      <c r="AF103" s="25" t="s">
        <v>325</v>
      </c>
    </row>
    <row r="104" spans="1:32" x14ac:dyDescent="0.25">
      <c r="A104" s="22" t="s">
        <v>146</v>
      </c>
      <c r="B104" s="22" t="s">
        <v>147</v>
      </c>
      <c r="C104" s="22" t="s">
        <v>44</v>
      </c>
      <c r="D104" s="23">
        <v>0</v>
      </c>
      <c r="E104" s="24">
        <v>0</v>
      </c>
      <c r="F104" s="24">
        <v>26000</v>
      </c>
      <c r="G104" s="24">
        <v>4000</v>
      </c>
      <c r="H104" s="24">
        <v>0</v>
      </c>
      <c r="I104" s="24">
        <v>0</v>
      </c>
      <c r="J104" s="24">
        <f t="shared" si="33"/>
        <v>0</v>
      </c>
      <c r="K104" s="24">
        <f t="shared" si="34"/>
        <v>26000</v>
      </c>
      <c r="L104" s="24">
        <f t="shared" si="35"/>
        <v>4000</v>
      </c>
      <c r="M104" s="24">
        <f t="shared" si="36"/>
        <v>0</v>
      </c>
      <c r="N104" s="24">
        <f t="shared" si="37"/>
        <v>0</v>
      </c>
      <c r="O104" s="24">
        <v>13380</v>
      </c>
      <c r="P104" s="24">
        <v>4850</v>
      </c>
      <c r="Q104" s="24">
        <v>0</v>
      </c>
      <c r="R104" s="24">
        <v>0</v>
      </c>
      <c r="S104" s="24">
        <v>0</v>
      </c>
      <c r="T104" s="24">
        <v>6000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 t="shared" si="38"/>
        <v>54230</v>
      </c>
      <c r="AA104" s="24">
        <v>44700</v>
      </c>
      <c r="AB104" s="20">
        <f t="shared" si="39"/>
        <v>9530</v>
      </c>
      <c r="AC104" s="24" t="str">
        <f t="shared" si="30"/>
        <v/>
      </c>
      <c r="AD104" s="24" t="str">
        <f t="shared" si="31"/>
        <v/>
      </c>
      <c r="AE104" s="24" t="str">
        <f t="shared" si="32"/>
        <v/>
      </c>
      <c r="AF104" s="25" t="s">
        <v>325</v>
      </c>
    </row>
    <row r="105" spans="1:32" x14ac:dyDescent="0.25">
      <c r="A105" s="22" t="s">
        <v>102</v>
      </c>
      <c r="B105" s="22" t="s">
        <v>104</v>
      </c>
      <c r="C105" s="22" t="s">
        <v>44</v>
      </c>
      <c r="D105" s="23">
        <v>0.25</v>
      </c>
      <c r="E105" s="24">
        <v>0</v>
      </c>
      <c r="F105" s="24">
        <v>26000</v>
      </c>
      <c r="G105" s="24">
        <v>4000</v>
      </c>
      <c r="H105" s="24">
        <v>0</v>
      </c>
      <c r="I105" s="24">
        <v>0</v>
      </c>
      <c r="J105" s="24">
        <f t="shared" si="33"/>
        <v>0</v>
      </c>
      <c r="K105" s="24">
        <f t="shared" si="34"/>
        <v>19500</v>
      </c>
      <c r="L105" s="24">
        <f t="shared" si="35"/>
        <v>4000</v>
      </c>
      <c r="M105" s="24">
        <f t="shared" si="36"/>
        <v>0</v>
      </c>
      <c r="N105" s="24">
        <f t="shared" si="37"/>
        <v>0</v>
      </c>
      <c r="O105" s="24">
        <v>13380</v>
      </c>
      <c r="P105" s="24">
        <v>7550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 t="shared" si="38"/>
        <v>50430</v>
      </c>
      <c r="AA105" s="24">
        <v>50430</v>
      </c>
      <c r="AB105" s="20">
        <f t="shared" si="39"/>
        <v>0</v>
      </c>
      <c r="AC105" s="24">
        <f t="shared" si="30"/>
        <v>6000</v>
      </c>
      <c r="AD105" s="24" t="str">
        <f t="shared" si="31"/>
        <v/>
      </c>
      <c r="AE105" s="24" t="str">
        <f t="shared" si="32"/>
        <v/>
      </c>
      <c r="AF105" s="25" t="s">
        <v>325</v>
      </c>
    </row>
    <row r="106" spans="1:32" x14ac:dyDescent="0.25">
      <c r="A106" s="22" t="s">
        <v>102</v>
      </c>
      <c r="B106" s="22" t="s">
        <v>103</v>
      </c>
      <c r="C106" s="22" t="s">
        <v>33</v>
      </c>
      <c r="D106" s="23">
        <v>0.25</v>
      </c>
      <c r="E106" s="24">
        <v>0</v>
      </c>
      <c r="F106" s="24">
        <v>28000</v>
      </c>
      <c r="G106" s="24">
        <v>4000</v>
      </c>
      <c r="H106" s="24">
        <v>2500</v>
      </c>
      <c r="I106" s="24">
        <v>5000</v>
      </c>
      <c r="J106" s="24">
        <f t="shared" si="33"/>
        <v>0</v>
      </c>
      <c r="K106" s="24">
        <f t="shared" si="34"/>
        <v>21000</v>
      </c>
      <c r="L106" s="24">
        <f t="shared" si="35"/>
        <v>4000</v>
      </c>
      <c r="M106" s="24">
        <f t="shared" si="36"/>
        <v>1875</v>
      </c>
      <c r="N106" s="24">
        <f t="shared" si="37"/>
        <v>3750</v>
      </c>
      <c r="O106" s="24">
        <v>25970</v>
      </c>
      <c r="P106" s="24">
        <v>11330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 t="shared" si="38"/>
        <v>73925</v>
      </c>
      <c r="AA106" s="24">
        <v>40000</v>
      </c>
      <c r="AB106" s="20">
        <f t="shared" si="39"/>
        <v>33925</v>
      </c>
      <c r="AC106" s="24" t="str">
        <f t="shared" si="30"/>
        <v/>
      </c>
      <c r="AD106" s="24" t="str">
        <f t="shared" si="31"/>
        <v/>
      </c>
      <c r="AE106" s="24" t="str">
        <f t="shared" si="32"/>
        <v/>
      </c>
      <c r="AF106" s="25" t="s">
        <v>325</v>
      </c>
    </row>
    <row r="107" spans="1:32" x14ac:dyDescent="0.25">
      <c r="A107" s="22" t="s">
        <v>102</v>
      </c>
      <c r="B107" s="22" t="s">
        <v>105</v>
      </c>
      <c r="C107" s="22" t="s">
        <v>46</v>
      </c>
      <c r="D107" s="23">
        <v>0.25</v>
      </c>
      <c r="E107" s="24">
        <v>0</v>
      </c>
      <c r="F107" s="24">
        <v>28000</v>
      </c>
      <c r="G107" s="24">
        <v>4000</v>
      </c>
      <c r="H107" s="24">
        <v>0</v>
      </c>
      <c r="I107" s="24">
        <v>5000</v>
      </c>
      <c r="J107" s="24">
        <f t="shared" si="33"/>
        <v>0</v>
      </c>
      <c r="K107" s="24">
        <f t="shared" si="34"/>
        <v>21000</v>
      </c>
      <c r="L107" s="24">
        <f t="shared" si="35"/>
        <v>4000</v>
      </c>
      <c r="M107" s="24">
        <f t="shared" si="36"/>
        <v>0</v>
      </c>
      <c r="N107" s="24">
        <f t="shared" si="37"/>
        <v>3750</v>
      </c>
      <c r="O107" s="24">
        <v>27310</v>
      </c>
      <c r="P107" s="24">
        <v>13230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 t="shared" si="38"/>
        <v>75290</v>
      </c>
      <c r="AA107" s="24">
        <v>49570</v>
      </c>
      <c r="AB107" s="20">
        <f t="shared" si="39"/>
        <v>25720</v>
      </c>
      <c r="AC107" s="24" t="str">
        <f t="shared" si="30"/>
        <v/>
      </c>
      <c r="AD107" s="24" t="str">
        <f t="shared" si="31"/>
        <v/>
      </c>
      <c r="AE107" s="24" t="str">
        <f t="shared" si="32"/>
        <v/>
      </c>
      <c r="AF107" s="25" t="s">
        <v>325</v>
      </c>
    </row>
    <row r="108" spans="1:32" x14ac:dyDescent="0.25">
      <c r="A108" s="22" t="s">
        <v>106</v>
      </c>
      <c r="B108" s="22" t="s">
        <v>45</v>
      </c>
      <c r="C108" s="22" t="s">
        <v>33</v>
      </c>
      <c r="D108" s="23">
        <v>0</v>
      </c>
      <c r="E108" s="24">
        <v>0</v>
      </c>
      <c r="F108" s="24">
        <v>28000</v>
      </c>
      <c r="G108" s="24">
        <v>4000</v>
      </c>
      <c r="H108" s="24">
        <v>2500</v>
      </c>
      <c r="I108" s="24">
        <v>5000</v>
      </c>
      <c r="J108" s="24">
        <f t="shared" si="33"/>
        <v>0</v>
      </c>
      <c r="K108" s="24">
        <f t="shared" si="34"/>
        <v>28000</v>
      </c>
      <c r="L108" s="24">
        <f t="shared" si="35"/>
        <v>4000</v>
      </c>
      <c r="M108" s="24">
        <f t="shared" si="36"/>
        <v>2500</v>
      </c>
      <c r="N108" s="24">
        <f t="shared" si="37"/>
        <v>5000</v>
      </c>
      <c r="O108" s="24">
        <v>25970</v>
      </c>
      <c r="P108" s="24">
        <v>11330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 t="shared" si="38"/>
        <v>76800</v>
      </c>
      <c r="AA108" s="24">
        <v>0</v>
      </c>
      <c r="AB108" s="20">
        <f t="shared" si="39"/>
        <v>76800</v>
      </c>
      <c r="AC108" s="24" t="str">
        <f t="shared" si="30"/>
        <v/>
      </c>
      <c r="AD108" s="24" t="str">
        <f t="shared" si="31"/>
        <v/>
      </c>
      <c r="AE108" s="24" t="str">
        <f t="shared" si="32"/>
        <v/>
      </c>
      <c r="AF108" s="25" t="s">
        <v>325</v>
      </c>
    </row>
    <row r="109" spans="1:32" x14ac:dyDescent="0.25">
      <c r="A109" s="22" t="s">
        <v>107</v>
      </c>
      <c r="B109" s="22" t="s">
        <v>108</v>
      </c>
      <c r="C109" s="22" t="s">
        <v>59</v>
      </c>
      <c r="D109" s="23">
        <v>1</v>
      </c>
      <c r="E109" s="24">
        <v>0</v>
      </c>
      <c r="F109" s="24">
        <v>28000</v>
      </c>
      <c r="G109" s="24">
        <v>4000</v>
      </c>
      <c r="H109" s="24">
        <v>0</v>
      </c>
      <c r="I109" s="24">
        <v>5000</v>
      </c>
      <c r="J109" s="24">
        <f t="shared" si="33"/>
        <v>0</v>
      </c>
      <c r="K109" s="24">
        <f t="shared" si="34"/>
        <v>0</v>
      </c>
      <c r="L109" s="24">
        <f t="shared" si="35"/>
        <v>4000</v>
      </c>
      <c r="M109" s="24">
        <f t="shared" si="36"/>
        <v>0</v>
      </c>
      <c r="N109" s="24">
        <f t="shared" si="37"/>
        <v>0</v>
      </c>
      <c r="O109" s="24">
        <v>27330</v>
      </c>
      <c r="P109" s="24">
        <v>13230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 t="shared" si="38"/>
        <v>50560</v>
      </c>
      <c r="AA109" s="24">
        <v>30000</v>
      </c>
      <c r="AB109" s="20">
        <f t="shared" si="39"/>
        <v>20560</v>
      </c>
      <c r="AC109" s="24" t="str">
        <f t="shared" si="30"/>
        <v/>
      </c>
      <c r="AD109" s="24" t="str">
        <f t="shared" si="31"/>
        <v/>
      </c>
      <c r="AE109" s="24" t="str">
        <f t="shared" si="32"/>
        <v/>
      </c>
      <c r="AF109" s="25" t="s">
        <v>325</v>
      </c>
    </row>
    <row r="110" spans="1:32" x14ac:dyDescent="0.25">
      <c r="A110" s="22" t="s">
        <v>109</v>
      </c>
      <c r="B110" s="22" t="s">
        <v>164</v>
      </c>
      <c r="C110" s="22" t="s">
        <v>30</v>
      </c>
      <c r="D110" s="23">
        <v>0.25</v>
      </c>
      <c r="E110" s="24">
        <v>0</v>
      </c>
      <c r="F110" s="24">
        <v>26000</v>
      </c>
      <c r="G110" s="24">
        <v>4000</v>
      </c>
      <c r="H110" s="24">
        <v>1000</v>
      </c>
      <c r="I110" s="24">
        <v>0</v>
      </c>
      <c r="J110" s="24">
        <f t="shared" si="33"/>
        <v>0</v>
      </c>
      <c r="K110" s="24">
        <f t="shared" si="34"/>
        <v>19500</v>
      </c>
      <c r="L110" s="24">
        <f t="shared" si="35"/>
        <v>4000</v>
      </c>
      <c r="M110" s="24">
        <f t="shared" si="36"/>
        <v>750</v>
      </c>
      <c r="N110" s="24">
        <f t="shared" si="37"/>
        <v>0</v>
      </c>
      <c r="O110" s="24">
        <v>12480</v>
      </c>
      <c r="P110" s="24">
        <v>7550</v>
      </c>
      <c r="Q110" s="24">
        <v>0</v>
      </c>
      <c r="R110" s="24">
        <v>0</v>
      </c>
      <c r="S110" s="24">
        <v>0</v>
      </c>
      <c r="T110" s="24">
        <v>6000</v>
      </c>
      <c r="U110" s="24">
        <v>0</v>
      </c>
      <c r="V110" s="24">
        <v>0</v>
      </c>
      <c r="W110" s="24">
        <v>0</v>
      </c>
      <c r="X110" s="24">
        <v>0</v>
      </c>
      <c r="Y110" s="24">
        <v>65</v>
      </c>
      <c r="Z110" s="24">
        <f t="shared" si="38"/>
        <v>50345</v>
      </c>
      <c r="AA110" s="24">
        <v>50345</v>
      </c>
      <c r="AB110" s="20">
        <f t="shared" si="39"/>
        <v>0</v>
      </c>
      <c r="AC110" s="24">
        <f t="shared" si="30"/>
        <v>6000</v>
      </c>
      <c r="AD110" s="24" t="str">
        <f t="shared" si="31"/>
        <v/>
      </c>
      <c r="AE110" s="24" t="str">
        <f t="shared" si="32"/>
        <v/>
      </c>
      <c r="AF110" s="25" t="s">
        <v>325</v>
      </c>
    </row>
    <row r="111" spans="1:32" x14ac:dyDescent="0.25">
      <c r="A111" s="22" t="s">
        <v>109</v>
      </c>
      <c r="B111" s="22" t="s">
        <v>110</v>
      </c>
      <c r="C111" s="22" t="s">
        <v>33</v>
      </c>
      <c r="D111" s="23">
        <v>0.25</v>
      </c>
      <c r="E111" s="24">
        <v>0</v>
      </c>
      <c r="F111" s="24">
        <v>28000</v>
      </c>
      <c r="G111" s="24">
        <v>4000</v>
      </c>
      <c r="H111" s="24">
        <v>2500</v>
      </c>
      <c r="I111" s="24">
        <v>5000</v>
      </c>
      <c r="J111" s="24">
        <f t="shared" si="33"/>
        <v>0</v>
      </c>
      <c r="K111" s="24">
        <f t="shared" si="34"/>
        <v>21000</v>
      </c>
      <c r="L111" s="24">
        <f t="shared" si="35"/>
        <v>4000</v>
      </c>
      <c r="M111" s="24">
        <f t="shared" si="36"/>
        <v>1875</v>
      </c>
      <c r="N111" s="24">
        <f t="shared" si="37"/>
        <v>3750</v>
      </c>
      <c r="O111" s="24">
        <v>25970</v>
      </c>
      <c r="P111" s="24">
        <v>11330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 t="shared" si="38"/>
        <v>73925</v>
      </c>
      <c r="AA111" s="24">
        <v>73925</v>
      </c>
      <c r="AB111" s="20">
        <f t="shared" si="39"/>
        <v>0</v>
      </c>
      <c r="AC111" s="24">
        <f t="shared" si="30"/>
        <v>6000</v>
      </c>
      <c r="AD111" s="24" t="str">
        <f t="shared" si="31"/>
        <v/>
      </c>
      <c r="AE111" s="24" t="str">
        <f t="shared" si="32"/>
        <v/>
      </c>
      <c r="AF111" s="25" t="s">
        <v>325</v>
      </c>
    </row>
    <row r="112" spans="1:32" x14ac:dyDescent="0.25">
      <c r="A112" s="22" t="s">
        <v>111</v>
      </c>
      <c r="B112" s="22" t="s">
        <v>112</v>
      </c>
      <c r="C112" s="22" t="s">
        <v>67</v>
      </c>
      <c r="D112" s="23">
        <v>0.3</v>
      </c>
      <c r="E112" s="24">
        <v>0</v>
      </c>
      <c r="F112" s="24">
        <v>33000</v>
      </c>
      <c r="G112" s="24">
        <v>5000</v>
      </c>
      <c r="H112" s="24">
        <v>2000</v>
      </c>
      <c r="I112" s="24">
        <v>6000</v>
      </c>
      <c r="J112" s="24">
        <f t="shared" si="33"/>
        <v>0</v>
      </c>
      <c r="K112" s="24">
        <f t="shared" si="34"/>
        <v>23100</v>
      </c>
      <c r="L112" s="24">
        <f t="shared" si="35"/>
        <v>5000</v>
      </c>
      <c r="M112" s="24">
        <f t="shared" si="36"/>
        <v>1400</v>
      </c>
      <c r="N112" s="24">
        <f t="shared" si="37"/>
        <v>4200</v>
      </c>
      <c r="O112" s="24">
        <v>22400</v>
      </c>
      <c r="P112" s="24">
        <v>14330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0</v>
      </c>
      <c r="Z112" s="24">
        <f t="shared" si="38"/>
        <v>70430</v>
      </c>
      <c r="AA112" s="24">
        <v>0</v>
      </c>
      <c r="AB112" s="20">
        <f t="shared" si="39"/>
        <v>70430</v>
      </c>
      <c r="AC112" s="24" t="str">
        <f t="shared" si="30"/>
        <v/>
      </c>
      <c r="AD112" s="24" t="str">
        <f t="shared" si="31"/>
        <v/>
      </c>
      <c r="AE112" s="24" t="str">
        <f t="shared" si="32"/>
        <v/>
      </c>
      <c r="AF112" s="25" t="s">
        <v>325</v>
      </c>
    </row>
    <row r="113" spans="1:32" x14ac:dyDescent="0.25">
      <c r="A113" s="22" t="s">
        <v>211</v>
      </c>
      <c r="B113" s="22" t="s">
        <v>212</v>
      </c>
      <c r="C113" s="22" t="s">
        <v>49</v>
      </c>
      <c r="D113" s="23">
        <v>0.05</v>
      </c>
      <c r="E113" s="24">
        <v>0</v>
      </c>
      <c r="F113" s="24">
        <v>26000</v>
      </c>
      <c r="G113" s="24">
        <v>4000</v>
      </c>
      <c r="H113" s="24">
        <v>1000</v>
      </c>
      <c r="I113" s="24">
        <v>0</v>
      </c>
      <c r="J113" s="24">
        <f t="shared" si="33"/>
        <v>0</v>
      </c>
      <c r="K113" s="24">
        <f t="shared" si="34"/>
        <v>24700</v>
      </c>
      <c r="L113" s="24">
        <f t="shared" si="35"/>
        <v>4000</v>
      </c>
      <c r="M113" s="24">
        <f t="shared" si="36"/>
        <v>950</v>
      </c>
      <c r="N113" s="24">
        <f t="shared" si="37"/>
        <v>0</v>
      </c>
      <c r="O113" s="24">
        <v>6840</v>
      </c>
      <c r="P113" s="24">
        <v>5300</v>
      </c>
      <c r="Q113" s="24">
        <v>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-10000</v>
      </c>
      <c r="Z113" s="24">
        <f t="shared" si="38"/>
        <v>31790</v>
      </c>
      <c r="AA113" s="24">
        <v>33140</v>
      </c>
      <c r="AB113" s="20">
        <f t="shared" si="39"/>
        <v>-1350</v>
      </c>
      <c r="AC113" s="24" t="str">
        <f t="shared" si="30"/>
        <v/>
      </c>
      <c r="AD113" s="24" t="str">
        <f t="shared" si="31"/>
        <v/>
      </c>
      <c r="AE113" s="24" t="str">
        <f t="shared" si="32"/>
        <v/>
      </c>
      <c r="AF113" s="25" t="s">
        <v>326</v>
      </c>
    </row>
    <row r="114" spans="1:32" x14ac:dyDescent="0.25">
      <c r="A114" s="22" t="s">
        <v>113</v>
      </c>
      <c r="B114" s="22" t="s">
        <v>115</v>
      </c>
      <c r="C114" s="22" t="s">
        <v>44</v>
      </c>
      <c r="D114" s="23">
        <v>0.5</v>
      </c>
      <c r="E114" s="24">
        <v>0</v>
      </c>
      <c r="F114" s="24">
        <v>26000</v>
      </c>
      <c r="G114" s="24">
        <v>4000</v>
      </c>
      <c r="H114" s="24">
        <v>0</v>
      </c>
      <c r="I114" s="24">
        <v>0</v>
      </c>
      <c r="J114" s="24">
        <f t="shared" si="33"/>
        <v>0</v>
      </c>
      <c r="K114" s="24">
        <f t="shared" si="34"/>
        <v>13000</v>
      </c>
      <c r="L114" s="24">
        <f t="shared" si="35"/>
        <v>4000</v>
      </c>
      <c r="M114" s="24">
        <f t="shared" si="36"/>
        <v>0</v>
      </c>
      <c r="N114" s="24">
        <f t="shared" si="37"/>
        <v>0</v>
      </c>
      <c r="O114" s="24">
        <v>13380</v>
      </c>
      <c r="P114" s="24">
        <v>7550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8000</v>
      </c>
      <c r="Z114" s="24">
        <f t="shared" si="38"/>
        <v>45930</v>
      </c>
      <c r="AA114" s="24">
        <v>20000</v>
      </c>
      <c r="AB114" s="20">
        <f t="shared" si="39"/>
        <v>25930</v>
      </c>
      <c r="AC114" s="24" t="str">
        <f t="shared" si="30"/>
        <v/>
      </c>
      <c r="AD114" s="24" t="str">
        <f t="shared" si="31"/>
        <v/>
      </c>
      <c r="AE114" s="24" t="str">
        <f t="shared" si="32"/>
        <v/>
      </c>
      <c r="AF114" s="25" t="s">
        <v>325</v>
      </c>
    </row>
    <row r="115" spans="1:32" x14ac:dyDescent="0.25">
      <c r="A115" s="22" t="s">
        <v>113</v>
      </c>
      <c r="B115" s="22" t="s">
        <v>114</v>
      </c>
      <c r="C115" s="22" t="s">
        <v>48</v>
      </c>
      <c r="D115" s="23">
        <v>0.5</v>
      </c>
      <c r="E115" s="24">
        <v>0</v>
      </c>
      <c r="F115" s="24">
        <v>28000</v>
      </c>
      <c r="G115" s="24">
        <v>4000</v>
      </c>
      <c r="H115" s="24">
        <v>0</v>
      </c>
      <c r="I115" s="24">
        <v>5000</v>
      </c>
      <c r="J115" s="24">
        <f t="shared" si="33"/>
        <v>0</v>
      </c>
      <c r="K115" s="24">
        <f t="shared" si="34"/>
        <v>14000</v>
      </c>
      <c r="L115" s="24">
        <f t="shared" si="35"/>
        <v>4000</v>
      </c>
      <c r="M115" s="24">
        <f t="shared" si="36"/>
        <v>0</v>
      </c>
      <c r="N115" s="24">
        <f t="shared" si="37"/>
        <v>2500</v>
      </c>
      <c r="O115" s="24">
        <v>26150</v>
      </c>
      <c r="P115" s="24">
        <v>11330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 t="shared" si="38"/>
        <v>57980</v>
      </c>
      <c r="AA115" s="24">
        <v>25000</v>
      </c>
      <c r="AB115" s="20">
        <f t="shared" si="39"/>
        <v>32980</v>
      </c>
      <c r="AC115" s="24" t="str">
        <f t="shared" si="30"/>
        <v/>
      </c>
      <c r="AD115" s="24" t="str">
        <f t="shared" si="31"/>
        <v/>
      </c>
      <c r="AE115" s="24" t="str">
        <f t="shared" si="32"/>
        <v/>
      </c>
      <c r="AF115" s="25" t="s">
        <v>325</v>
      </c>
    </row>
    <row r="116" spans="1:32" x14ac:dyDescent="0.25">
      <c r="A116" s="22" t="s">
        <v>391</v>
      </c>
      <c r="B116" s="22" t="s">
        <v>392</v>
      </c>
      <c r="C116" s="22" t="s">
        <v>47</v>
      </c>
      <c r="D116" s="23">
        <v>0</v>
      </c>
      <c r="E116" s="24">
        <v>2000</v>
      </c>
      <c r="F116" s="24">
        <v>26000</v>
      </c>
      <c r="G116" s="24">
        <v>4000</v>
      </c>
      <c r="H116" s="24">
        <v>1000</v>
      </c>
      <c r="I116" s="24">
        <v>0</v>
      </c>
      <c r="J116" s="24">
        <f t="shared" si="33"/>
        <v>2000</v>
      </c>
      <c r="K116" s="24">
        <f t="shared" si="34"/>
        <v>26000</v>
      </c>
      <c r="L116" s="24">
        <f t="shared" si="35"/>
        <v>4000</v>
      </c>
      <c r="M116" s="24">
        <f t="shared" si="36"/>
        <v>1000</v>
      </c>
      <c r="N116" s="24">
        <f t="shared" si="37"/>
        <v>0</v>
      </c>
      <c r="O116" s="24">
        <v>24930</v>
      </c>
      <c r="P116" s="24">
        <v>10730</v>
      </c>
      <c r="Q116" s="24">
        <v>16000</v>
      </c>
      <c r="R116" s="24">
        <v>8000</v>
      </c>
      <c r="S116" s="24">
        <v>7000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 t="shared" si="38"/>
        <v>99660</v>
      </c>
      <c r="AA116" s="24">
        <v>80000</v>
      </c>
      <c r="AB116" s="20">
        <f t="shared" si="39"/>
        <v>19660</v>
      </c>
      <c r="AC116" s="24" t="str">
        <f t="shared" si="30"/>
        <v/>
      </c>
      <c r="AD116" s="24" t="str">
        <f t="shared" si="31"/>
        <v/>
      </c>
      <c r="AE116" s="24" t="str">
        <f t="shared" si="32"/>
        <v/>
      </c>
      <c r="AF116" s="25" t="s">
        <v>325</v>
      </c>
    </row>
    <row r="117" spans="1:32" x14ac:dyDescent="0.25">
      <c r="A117" s="22" t="s">
        <v>116</v>
      </c>
      <c r="B117" s="22" t="s">
        <v>117</v>
      </c>
      <c r="C117" s="22" t="s">
        <v>67</v>
      </c>
      <c r="D117" s="23">
        <v>0.5</v>
      </c>
      <c r="E117" s="24">
        <v>0</v>
      </c>
      <c r="F117" s="24">
        <v>33000</v>
      </c>
      <c r="G117" s="24">
        <v>5000</v>
      </c>
      <c r="H117" s="24">
        <v>2000</v>
      </c>
      <c r="I117" s="24">
        <v>6000</v>
      </c>
      <c r="J117" s="24">
        <f t="shared" si="33"/>
        <v>0</v>
      </c>
      <c r="K117" s="24">
        <f t="shared" si="34"/>
        <v>16500</v>
      </c>
      <c r="L117" s="24">
        <f t="shared" si="35"/>
        <v>5000</v>
      </c>
      <c r="M117" s="24">
        <f t="shared" si="36"/>
        <v>1000</v>
      </c>
      <c r="N117" s="24">
        <f t="shared" si="37"/>
        <v>3000</v>
      </c>
      <c r="O117" s="24">
        <v>22400</v>
      </c>
      <c r="P117" s="24">
        <v>14330</v>
      </c>
      <c r="Q117" s="24">
        <v>0</v>
      </c>
      <c r="R117" s="24">
        <v>0</v>
      </c>
      <c r="S117" s="24">
        <v>0</v>
      </c>
      <c r="T117" s="24">
        <v>8000</v>
      </c>
      <c r="U117" s="24">
        <v>0</v>
      </c>
      <c r="V117" s="24">
        <v>0</v>
      </c>
      <c r="W117" s="24">
        <v>0</v>
      </c>
      <c r="X117" s="24">
        <v>0</v>
      </c>
      <c r="Y117" s="24">
        <v>-3145</v>
      </c>
      <c r="Z117" s="24">
        <f t="shared" si="38"/>
        <v>67085</v>
      </c>
      <c r="AA117" s="24">
        <v>30000</v>
      </c>
      <c r="AB117" s="20">
        <f t="shared" si="39"/>
        <v>37085</v>
      </c>
      <c r="AC117" s="24" t="str">
        <f t="shared" si="30"/>
        <v/>
      </c>
      <c r="AD117" s="24" t="str">
        <f t="shared" si="31"/>
        <v/>
      </c>
      <c r="AE117" s="24" t="str">
        <f t="shared" si="32"/>
        <v/>
      </c>
      <c r="AF117" s="25" t="s">
        <v>325</v>
      </c>
    </row>
    <row r="118" spans="1:32" x14ac:dyDescent="0.25">
      <c r="A118" s="22" t="s">
        <v>118</v>
      </c>
      <c r="B118" s="22" t="s">
        <v>119</v>
      </c>
      <c r="C118" s="22" t="s">
        <v>44</v>
      </c>
      <c r="D118" s="23">
        <v>0.25</v>
      </c>
      <c r="E118" s="24">
        <v>0</v>
      </c>
      <c r="F118" s="24">
        <v>26000</v>
      </c>
      <c r="G118" s="24">
        <v>4000</v>
      </c>
      <c r="H118" s="24">
        <v>0</v>
      </c>
      <c r="I118" s="24">
        <v>0</v>
      </c>
      <c r="J118" s="24">
        <f t="shared" si="33"/>
        <v>0</v>
      </c>
      <c r="K118" s="24">
        <f t="shared" si="34"/>
        <v>19500</v>
      </c>
      <c r="L118" s="24">
        <f t="shared" si="35"/>
        <v>4000</v>
      </c>
      <c r="M118" s="24">
        <f t="shared" si="36"/>
        <v>0</v>
      </c>
      <c r="N118" s="24">
        <f t="shared" si="37"/>
        <v>0</v>
      </c>
      <c r="O118" s="24">
        <v>13380</v>
      </c>
      <c r="P118" s="24">
        <v>5300</v>
      </c>
      <c r="Q118" s="24">
        <v>8000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 t="shared" si="38"/>
        <v>50180</v>
      </c>
      <c r="AA118" s="24">
        <v>27120</v>
      </c>
      <c r="AB118" s="20">
        <f t="shared" si="39"/>
        <v>23060</v>
      </c>
      <c r="AC118" s="24" t="str">
        <f t="shared" si="30"/>
        <v/>
      </c>
      <c r="AD118" s="24" t="str">
        <f t="shared" si="31"/>
        <v/>
      </c>
      <c r="AE118" s="24" t="str">
        <f t="shared" si="32"/>
        <v/>
      </c>
      <c r="AF118" s="25" t="s">
        <v>325</v>
      </c>
    </row>
    <row r="119" spans="1:32" x14ac:dyDescent="0.25">
      <c r="A119" s="22" t="s">
        <v>118</v>
      </c>
      <c r="B119" s="22" t="s">
        <v>120</v>
      </c>
      <c r="C119" s="22" t="s">
        <v>46</v>
      </c>
      <c r="D119" s="23">
        <v>0.25</v>
      </c>
      <c r="E119" s="24">
        <v>0</v>
      </c>
      <c r="F119" s="24">
        <v>28000</v>
      </c>
      <c r="G119" s="24">
        <v>4000</v>
      </c>
      <c r="H119" s="24">
        <v>0</v>
      </c>
      <c r="I119" s="24">
        <v>5000</v>
      </c>
      <c r="J119" s="24">
        <f t="shared" si="33"/>
        <v>0</v>
      </c>
      <c r="K119" s="24">
        <f t="shared" si="34"/>
        <v>21000</v>
      </c>
      <c r="L119" s="24">
        <f t="shared" si="35"/>
        <v>4000</v>
      </c>
      <c r="M119" s="24">
        <f t="shared" si="36"/>
        <v>0</v>
      </c>
      <c r="N119" s="24">
        <f t="shared" si="37"/>
        <v>3750</v>
      </c>
      <c r="O119" s="24">
        <v>27310</v>
      </c>
      <c r="P119" s="24">
        <v>8250</v>
      </c>
      <c r="Q119" s="24">
        <v>8000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 t="shared" si="38"/>
        <v>72310</v>
      </c>
      <c r="AA119" s="24">
        <v>27120</v>
      </c>
      <c r="AB119" s="20">
        <f t="shared" si="39"/>
        <v>45190</v>
      </c>
      <c r="AC119" s="24" t="str">
        <f t="shared" si="30"/>
        <v/>
      </c>
      <c r="AD119" s="24" t="str">
        <f t="shared" si="31"/>
        <v/>
      </c>
      <c r="AE119" s="24" t="str">
        <f t="shared" si="32"/>
        <v/>
      </c>
      <c r="AF119" s="25" t="s">
        <v>325</v>
      </c>
    </row>
    <row r="120" spans="1:32" x14ac:dyDescent="0.25">
      <c r="A120" s="22" t="s">
        <v>198</v>
      </c>
      <c r="B120" s="22" t="s">
        <v>31</v>
      </c>
      <c r="C120" s="22" t="s">
        <v>47</v>
      </c>
      <c r="D120" s="23">
        <v>0.25</v>
      </c>
      <c r="E120" s="24">
        <v>0</v>
      </c>
      <c r="F120" s="24">
        <v>26000</v>
      </c>
      <c r="G120" s="24">
        <v>4000</v>
      </c>
      <c r="H120" s="24">
        <v>0</v>
      </c>
      <c r="I120" s="24">
        <v>0</v>
      </c>
      <c r="J120" s="24">
        <f t="shared" si="33"/>
        <v>0</v>
      </c>
      <c r="K120" s="24">
        <f t="shared" si="34"/>
        <v>19500</v>
      </c>
      <c r="L120" s="24">
        <f t="shared" si="35"/>
        <v>4000</v>
      </c>
      <c r="M120" s="24">
        <f t="shared" si="36"/>
        <v>0</v>
      </c>
      <c r="N120" s="24">
        <f t="shared" si="37"/>
        <v>0</v>
      </c>
      <c r="O120" s="24">
        <v>24930</v>
      </c>
      <c r="P120" s="24">
        <v>10730</v>
      </c>
      <c r="Q120" s="24">
        <v>0</v>
      </c>
      <c r="R120" s="24">
        <v>0</v>
      </c>
      <c r="S120" s="24">
        <v>0</v>
      </c>
      <c r="T120" s="24">
        <v>6000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 t="shared" si="38"/>
        <v>65160</v>
      </c>
      <c r="AA120" s="24">
        <v>0</v>
      </c>
      <c r="AB120" s="20">
        <f t="shared" si="39"/>
        <v>65160</v>
      </c>
      <c r="AC120" s="24" t="str">
        <f t="shared" ref="AC120:AC139" si="40">IF(AND($T120=6000, ($T120+$W120-$AB120)&gt;=6000),T120,"")</f>
        <v/>
      </c>
      <c r="AD120" s="24" t="str">
        <f t="shared" ref="AD120:AD139" si="41">IF(AND($T120=8000, ($T120+$W120-$AB120)&gt;=8000),T120,"")</f>
        <v/>
      </c>
      <c r="AE120" s="24" t="str">
        <f t="shared" ref="AE120:AE139" si="42">IF(($T120+$W120-$AB120)&gt;=$T120+8000,W120,"")</f>
        <v/>
      </c>
      <c r="AF120" s="25" t="s">
        <v>325</v>
      </c>
    </row>
    <row r="121" spans="1:32" x14ac:dyDescent="0.25">
      <c r="A121" s="22" t="s">
        <v>198</v>
      </c>
      <c r="B121" s="22" t="s">
        <v>32</v>
      </c>
      <c r="C121" s="22" t="s">
        <v>46</v>
      </c>
      <c r="D121" s="23">
        <v>0.25</v>
      </c>
      <c r="E121" s="24">
        <v>0</v>
      </c>
      <c r="F121" s="24">
        <v>28000</v>
      </c>
      <c r="G121" s="24">
        <v>4000</v>
      </c>
      <c r="H121" s="24">
        <v>0</v>
      </c>
      <c r="I121" s="24">
        <v>5000</v>
      </c>
      <c r="J121" s="24">
        <f t="shared" si="33"/>
        <v>0</v>
      </c>
      <c r="K121" s="24">
        <f t="shared" si="34"/>
        <v>21000</v>
      </c>
      <c r="L121" s="24">
        <f t="shared" si="35"/>
        <v>4000</v>
      </c>
      <c r="M121" s="24">
        <f t="shared" si="36"/>
        <v>0</v>
      </c>
      <c r="N121" s="24">
        <f t="shared" si="37"/>
        <v>3750</v>
      </c>
      <c r="O121" s="24">
        <v>27310</v>
      </c>
      <c r="P121" s="24">
        <v>13230</v>
      </c>
      <c r="Q121" s="24">
        <v>0</v>
      </c>
      <c r="R121" s="24">
        <v>0</v>
      </c>
      <c r="S121" s="24">
        <v>0</v>
      </c>
      <c r="T121" s="24">
        <v>6000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f t="shared" si="38"/>
        <v>75290</v>
      </c>
      <c r="AA121" s="24">
        <v>0</v>
      </c>
      <c r="AB121" s="20">
        <f t="shared" si="39"/>
        <v>75290</v>
      </c>
      <c r="AC121" s="24" t="str">
        <f t="shared" si="40"/>
        <v/>
      </c>
      <c r="AD121" s="24" t="str">
        <f t="shared" si="41"/>
        <v/>
      </c>
      <c r="AE121" s="24" t="str">
        <f t="shared" si="42"/>
        <v/>
      </c>
      <c r="AF121" s="25" t="s">
        <v>325</v>
      </c>
    </row>
    <row r="122" spans="1:32" x14ac:dyDescent="0.25">
      <c r="A122" s="22" t="s">
        <v>121</v>
      </c>
      <c r="B122" s="22" t="s">
        <v>242</v>
      </c>
      <c r="C122" s="22" t="s">
        <v>252</v>
      </c>
      <c r="D122" s="23">
        <v>0.25</v>
      </c>
      <c r="E122" s="24">
        <v>0</v>
      </c>
      <c r="F122" s="24">
        <v>26000</v>
      </c>
      <c r="G122" s="24">
        <v>2000</v>
      </c>
      <c r="H122" s="24">
        <v>0</v>
      </c>
      <c r="I122" s="24">
        <v>0</v>
      </c>
      <c r="J122" s="24">
        <f t="shared" si="33"/>
        <v>0</v>
      </c>
      <c r="K122" s="24">
        <f t="shared" si="34"/>
        <v>19500</v>
      </c>
      <c r="L122" s="24">
        <f t="shared" si="35"/>
        <v>2000</v>
      </c>
      <c r="M122" s="24">
        <f t="shared" si="36"/>
        <v>0</v>
      </c>
      <c r="N122" s="24">
        <f t="shared" si="37"/>
        <v>0</v>
      </c>
      <c r="O122" s="24">
        <v>0</v>
      </c>
      <c r="P122" s="24">
        <v>3050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 t="shared" si="38"/>
        <v>24550</v>
      </c>
      <c r="AA122" s="24">
        <v>0</v>
      </c>
      <c r="AB122" s="20">
        <f t="shared" si="39"/>
        <v>24550</v>
      </c>
      <c r="AC122" s="24" t="str">
        <f t="shared" si="40"/>
        <v/>
      </c>
      <c r="AD122" s="24" t="str">
        <f t="shared" si="41"/>
        <v/>
      </c>
      <c r="AE122" s="24" t="str">
        <f t="shared" si="42"/>
        <v/>
      </c>
      <c r="AF122" s="25" t="s">
        <v>325</v>
      </c>
    </row>
    <row r="123" spans="1:32" x14ac:dyDescent="0.25">
      <c r="A123" s="22" t="s">
        <v>121</v>
      </c>
      <c r="B123" s="22" t="s">
        <v>122</v>
      </c>
      <c r="C123" s="22" t="s">
        <v>47</v>
      </c>
      <c r="D123" s="23">
        <v>0.25</v>
      </c>
      <c r="E123" s="24">
        <v>0</v>
      </c>
      <c r="F123" s="24">
        <v>26000</v>
      </c>
      <c r="G123" s="24">
        <v>4000</v>
      </c>
      <c r="H123" s="24">
        <v>0</v>
      </c>
      <c r="I123" s="24">
        <v>0</v>
      </c>
      <c r="J123" s="24">
        <f t="shared" si="33"/>
        <v>0</v>
      </c>
      <c r="K123" s="24">
        <f t="shared" si="34"/>
        <v>19500</v>
      </c>
      <c r="L123" s="24">
        <f t="shared" si="35"/>
        <v>4000</v>
      </c>
      <c r="M123" s="24">
        <f t="shared" si="36"/>
        <v>0</v>
      </c>
      <c r="N123" s="24">
        <f t="shared" si="37"/>
        <v>0</v>
      </c>
      <c r="O123" s="24">
        <v>24930</v>
      </c>
      <c r="P123" s="24">
        <v>10730</v>
      </c>
      <c r="Q123" s="24">
        <v>0</v>
      </c>
      <c r="R123" s="24">
        <v>0</v>
      </c>
      <c r="S123" s="24">
        <v>0</v>
      </c>
      <c r="T123" s="24">
        <v>6000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f t="shared" si="38"/>
        <v>65160</v>
      </c>
      <c r="AA123" s="24">
        <v>0</v>
      </c>
      <c r="AB123" s="20">
        <f t="shared" si="39"/>
        <v>65160</v>
      </c>
      <c r="AC123" s="24" t="str">
        <f t="shared" si="40"/>
        <v/>
      </c>
      <c r="AD123" s="24" t="str">
        <f t="shared" si="41"/>
        <v/>
      </c>
      <c r="AE123" s="24" t="str">
        <f t="shared" si="42"/>
        <v/>
      </c>
      <c r="AF123" s="25" t="s">
        <v>325</v>
      </c>
    </row>
    <row r="124" spans="1:32" x14ac:dyDescent="0.25">
      <c r="A124" s="22" t="s">
        <v>358</v>
      </c>
      <c r="B124" s="22" t="s">
        <v>359</v>
      </c>
      <c r="C124" s="22" t="s">
        <v>252</v>
      </c>
      <c r="D124" s="23">
        <v>0</v>
      </c>
      <c r="E124" s="24">
        <v>2000</v>
      </c>
      <c r="F124" s="24">
        <v>26000</v>
      </c>
      <c r="G124" s="24">
        <v>2000</v>
      </c>
      <c r="H124" s="24">
        <v>0</v>
      </c>
      <c r="I124" s="24">
        <v>0</v>
      </c>
      <c r="J124" s="24">
        <f t="shared" si="33"/>
        <v>2000</v>
      </c>
      <c r="K124" s="24">
        <f t="shared" si="34"/>
        <v>26000</v>
      </c>
      <c r="L124" s="24">
        <f t="shared" si="35"/>
        <v>2000</v>
      </c>
      <c r="M124" s="24">
        <f t="shared" si="36"/>
        <v>0</v>
      </c>
      <c r="N124" s="24">
        <f t="shared" si="37"/>
        <v>0</v>
      </c>
      <c r="O124" s="24">
        <v>0</v>
      </c>
      <c r="P124" s="24">
        <v>3050</v>
      </c>
      <c r="Q124" s="24">
        <v>0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f t="shared" si="38"/>
        <v>33050</v>
      </c>
      <c r="AA124" s="24">
        <v>36050</v>
      </c>
      <c r="AB124" s="20">
        <f t="shared" si="39"/>
        <v>-3000</v>
      </c>
      <c r="AC124" s="24" t="str">
        <f t="shared" si="40"/>
        <v/>
      </c>
      <c r="AD124" s="24" t="str">
        <f t="shared" si="41"/>
        <v/>
      </c>
      <c r="AE124" s="24" t="str">
        <f t="shared" si="42"/>
        <v/>
      </c>
      <c r="AF124" s="24"/>
    </row>
    <row r="125" spans="1:32" x14ac:dyDescent="0.25">
      <c r="A125" s="22" t="s">
        <v>123</v>
      </c>
      <c r="B125" s="22" t="s">
        <v>124</v>
      </c>
      <c r="C125" s="22" t="s">
        <v>47</v>
      </c>
      <c r="D125" s="23">
        <v>0</v>
      </c>
      <c r="E125" s="24">
        <v>0</v>
      </c>
      <c r="F125" s="24">
        <v>26000</v>
      </c>
      <c r="G125" s="24">
        <v>4000</v>
      </c>
      <c r="H125" s="24">
        <v>0</v>
      </c>
      <c r="I125" s="24">
        <v>0</v>
      </c>
      <c r="J125" s="24">
        <f t="shared" si="33"/>
        <v>0</v>
      </c>
      <c r="K125" s="24">
        <f t="shared" si="34"/>
        <v>26000</v>
      </c>
      <c r="L125" s="24">
        <f t="shared" si="35"/>
        <v>4000</v>
      </c>
      <c r="M125" s="24">
        <f t="shared" si="36"/>
        <v>0</v>
      </c>
      <c r="N125" s="24">
        <f t="shared" si="37"/>
        <v>0</v>
      </c>
      <c r="O125" s="24">
        <v>24930</v>
      </c>
      <c r="P125" s="24">
        <v>10730</v>
      </c>
      <c r="Q125" s="24">
        <v>0</v>
      </c>
      <c r="R125" s="24">
        <v>0</v>
      </c>
      <c r="S125" s="24">
        <v>0</v>
      </c>
      <c r="T125" s="24">
        <v>6000</v>
      </c>
      <c r="U125" s="24">
        <v>0</v>
      </c>
      <c r="V125" s="24">
        <v>0</v>
      </c>
      <c r="W125" s="24">
        <v>0</v>
      </c>
      <c r="X125" s="24">
        <v>0</v>
      </c>
      <c r="Y125" s="24">
        <v>14240</v>
      </c>
      <c r="Z125" s="24">
        <f t="shared" si="38"/>
        <v>85900</v>
      </c>
      <c r="AA125" s="24">
        <v>50000</v>
      </c>
      <c r="AB125" s="20">
        <f t="shared" si="39"/>
        <v>35900</v>
      </c>
      <c r="AC125" s="24" t="str">
        <f t="shared" si="40"/>
        <v/>
      </c>
      <c r="AD125" s="24" t="str">
        <f t="shared" si="41"/>
        <v/>
      </c>
      <c r="AE125" s="24" t="str">
        <f t="shared" si="42"/>
        <v/>
      </c>
      <c r="AF125" s="25" t="s">
        <v>325</v>
      </c>
    </row>
    <row r="126" spans="1:32" x14ac:dyDescent="0.25">
      <c r="A126" s="22" t="s">
        <v>125</v>
      </c>
      <c r="B126" s="22" t="s">
        <v>128</v>
      </c>
      <c r="C126" s="22" t="s">
        <v>44</v>
      </c>
      <c r="D126" s="23">
        <v>0.25</v>
      </c>
      <c r="E126" s="24">
        <v>0</v>
      </c>
      <c r="F126" s="24">
        <v>26000</v>
      </c>
      <c r="G126" s="24">
        <v>4000</v>
      </c>
      <c r="H126" s="24">
        <v>0</v>
      </c>
      <c r="I126" s="24">
        <v>0</v>
      </c>
      <c r="J126" s="24">
        <f t="shared" si="33"/>
        <v>0</v>
      </c>
      <c r="K126" s="24">
        <f t="shared" si="34"/>
        <v>19500</v>
      </c>
      <c r="L126" s="24">
        <f t="shared" si="35"/>
        <v>4000</v>
      </c>
      <c r="M126" s="24">
        <f t="shared" si="36"/>
        <v>0</v>
      </c>
      <c r="N126" s="24">
        <f t="shared" si="37"/>
        <v>0</v>
      </c>
      <c r="O126" s="24">
        <v>13380</v>
      </c>
      <c r="P126" s="24">
        <v>7550</v>
      </c>
      <c r="Q126" s="24">
        <v>0</v>
      </c>
      <c r="R126" s="24">
        <v>0</v>
      </c>
      <c r="S126" s="24">
        <v>0</v>
      </c>
      <c r="T126" s="24">
        <v>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f t="shared" si="38"/>
        <v>44430</v>
      </c>
      <c r="AA126" s="24">
        <v>44430</v>
      </c>
      <c r="AB126" s="20">
        <f t="shared" si="39"/>
        <v>0</v>
      </c>
      <c r="AC126" s="24" t="str">
        <f t="shared" si="40"/>
        <v/>
      </c>
      <c r="AD126" s="24" t="str">
        <f t="shared" si="41"/>
        <v/>
      </c>
      <c r="AE126" s="24" t="str">
        <f t="shared" si="42"/>
        <v/>
      </c>
      <c r="AF126" s="25" t="s">
        <v>325</v>
      </c>
    </row>
    <row r="127" spans="1:32" x14ac:dyDescent="0.25">
      <c r="A127" s="22" t="s">
        <v>125</v>
      </c>
      <c r="B127" s="22" t="s">
        <v>127</v>
      </c>
      <c r="C127" s="22" t="s">
        <v>48</v>
      </c>
      <c r="D127" s="23">
        <v>0.25</v>
      </c>
      <c r="E127" s="24">
        <v>0</v>
      </c>
      <c r="F127" s="24">
        <v>28000</v>
      </c>
      <c r="G127" s="24">
        <v>4000</v>
      </c>
      <c r="H127" s="24">
        <v>0</v>
      </c>
      <c r="I127" s="24">
        <v>5000</v>
      </c>
      <c r="J127" s="24">
        <f t="shared" si="33"/>
        <v>0</v>
      </c>
      <c r="K127" s="24">
        <f t="shared" si="34"/>
        <v>21000</v>
      </c>
      <c r="L127" s="24">
        <f t="shared" si="35"/>
        <v>4000</v>
      </c>
      <c r="M127" s="24">
        <f t="shared" si="36"/>
        <v>0</v>
      </c>
      <c r="N127" s="24">
        <f t="shared" si="37"/>
        <v>3750</v>
      </c>
      <c r="O127" s="24">
        <v>26150</v>
      </c>
      <c r="P127" s="24">
        <v>11330</v>
      </c>
      <c r="Q127" s="24">
        <v>0</v>
      </c>
      <c r="R127" s="24">
        <v>0</v>
      </c>
      <c r="S127" s="24">
        <v>0</v>
      </c>
      <c r="T127" s="24">
        <v>0</v>
      </c>
      <c r="U127" s="24">
        <v>0</v>
      </c>
      <c r="V127" s="24">
        <v>0</v>
      </c>
      <c r="W127" s="24">
        <v>0</v>
      </c>
      <c r="X127" s="24">
        <v>0</v>
      </c>
      <c r="Y127" s="24">
        <v>0</v>
      </c>
      <c r="Z127" s="24">
        <f t="shared" si="38"/>
        <v>66230</v>
      </c>
      <c r="AA127" s="24">
        <v>55570</v>
      </c>
      <c r="AB127" s="20">
        <f t="shared" si="39"/>
        <v>10660</v>
      </c>
      <c r="AC127" s="24" t="str">
        <f t="shared" si="40"/>
        <v/>
      </c>
      <c r="AD127" s="24" t="str">
        <f t="shared" si="41"/>
        <v/>
      </c>
      <c r="AE127" s="24" t="str">
        <f t="shared" si="42"/>
        <v/>
      </c>
      <c r="AF127" s="25" t="s">
        <v>325</v>
      </c>
    </row>
    <row r="128" spans="1:32" x14ac:dyDescent="0.25">
      <c r="A128" s="22" t="s">
        <v>125</v>
      </c>
      <c r="B128" s="22" t="s">
        <v>129</v>
      </c>
      <c r="C128" s="22" t="s">
        <v>248</v>
      </c>
      <c r="D128" s="23">
        <v>0.25</v>
      </c>
      <c r="E128" s="24">
        <v>0</v>
      </c>
      <c r="F128" s="24">
        <v>28000</v>
      </c>
      <c r="G128" s="24">
        <v>4000</v>
      </c>
      <c r="H128" s="24">
        <v>0</v>
      </c>
      <c r="I128" s="24">
        <v>5000</v>
      </c>
      <c r="J128" s="24">
        <f t="shared" si="33"/>
        <v>0</v>
      </c>
      <c r="K128" s="24">
        <f t="shared" si="34"/>
        <v>21000</v>
      </c>
      <c r="L128" s="24">
        <f t="shared" si="35"/>
        <v>4000</v>
      </c>
      <c r="M128" s="24">
        <f t="shared" si="36"/>
        <v>0</v>
      </c>
      <c r="N128" s="24">
        <f t="shared" si="37"/>
        <v>3750</v>
      </c>
      <c r="O128" s="24">
        <v>28790</v>
      </c>
      <c r="P128" s="24">
        <v>13230</v>
      </c>
      <c r="Q128" s="24">
        <v>0</v>
      </c>
      <c r="R128" s="24">
        <v>0</v>
      </c>
      <c r="S128" s="24">
        <v>0</v>
      </c>
      <c r="T128" s="24">
        <v>6000</v>
      </c>
      <c r="U128" s="24">
        <v>0</v>
      </c>
      <c r="V128" s="24">
        <v>0</v>
      </c>
      <c r="W128" s="24">
        <v>0</v>
      </c>
      <c r="X128" s="24">
        <v>0</v>
      </c>
      <c r="Y128" s="24">
        <v>0</v>
      </c>
      <c r="Z128" s="24">
        <f t="shared" si="38"/>
        <v>76770</v>
      </c>
      <c r="AA128" s="24">
        <v>25000</v>
      </c>
      <c r="AB128" s="20">
        <f t="shared" si="39"/>
        <v>51770</v>
      </c>
      <c r="AC128" s="24" t="str">
        <f t="shared" si="40"/>
        <v/>
      </c>
      <c r="AD128" s="24" t="str">
        <f t="shared" si="41"/>
        <v/>
      </c>
      <c r="AE128" s="24" t="str">
        <f t="shared" si="42"/>
        <v/>
      </c>
      <c r="AF128" s="25" t="s">
        <v>325</v>
      </c>
    </row>
    <row r="129" spans="1:32" x14ac:dyDescent="0.25">
      <c r="A129" s="22" t="s">
        <v>125</v>
      </c>
      <c r="B129" s="22" t="s">
        <v>126</v>
      </c>
      <c r="C129" s="22" t="s">
        <v>70</v>
      </c>
      <c r="D129" s="23">
        <v>0.25</v>
      </c>
      <c r="E129" s="24">
        <v>0</v>
      </c>
      <c r="F129" s="24">
        <v>40000</v>
      </c>
      <c r="G129" s="24">
        <v>5000</v>
      </c>
      <c r="H129" s="24">
        <v>2000</v>
      </c>
      <c r="I129" s="24">
        <v>8000</v>
      </c>
      <c r="J129" s="24">
        <f t="shared" si="33"/>
        <v>0</v>
      </c>
      <c r="K129" s="24">
        <f t="shared" si="34"/>
        <v>30000</v>
      </c>
      <c r="L129" s="24">
        <f t="shared" si="35"/>
        <v>5000</v>
      </c>
      <c r="M129" s="24">
        <f t="shared" si="36"/>
        <v>1500</v>
      </c>
      <c r="N129" s="24">
        <f t="shared" si="37"/>
        <v>6000</v>
      </c>
      <c r="O129" s="24">
        <v>11880</v>
      </c>
      <c r="P129" s="24">
        <v>14330</v>
      </c>
      <c r="Q129" s="24">
        <v>0</v>
      </c>
      <c r="R129" s="24">
        <v>0</v>
      </c>
      <c r="S129" s="24">
        <v>0</v>
      </c>
      <c r="T129" s="24">
        <v>8000</v>
      </c>
      <c r="U129" s="24">
        <v>0</v>
      </c>
      <c r="V129" s="24">
        <v>0</v>
      </c>
      <c r="W129" s="24">
        <v>0</v>
      </c>
      <c r="X129" s="24">
        <v>0</v>
      </c>
      <c r="Y129" s="24">
        <v>2660</v>
      </c>
      <c r="Z129" s="24">
        <f t="shared" si="38"/>
        <v>79370</v>
      </c>
      <c r="AA129" s="24">
        <v>25000</v>
      </c>
      <c r="AB129" s="20">
        <f t="shared" si="39"/>
        <v>54370</v>
      </c>
      <c r="AC129" s="24" t="str">
        <f t="shared" si="40"/>
        <v/>
      </c>
      <c r="AD129" s="24" t="str">
        <f t="shared" si="41"/>
        <v/>
      </c>
      <c r="AE129" s="24" t="str">
        <f t="shared" si="42"/>
        <v/>
      </c>
      <c r="AF129" s="25" t="s">
        <v>325</v>
      </c>
    </row>
    <row r="130" spans="1:32" x14ac:dyDescent="0.25">
      <c r="A130" s="22" t="s">
        <v>184</v>
      </c>
      <c r="B130" s="22" t="s">
        <v>189</v>
      </c>
      <c r="C130" s="22" t="s">
        <v>30</v>
      </c>
      <c r="D130" s="23">
        <v>0.25</v>
      </c>
      <c r="E130" s="24">
        <v>0</v>
      </c>
      <c r="F130" s="24">
        <v>26000</v>
      </c>
      <c r="G130" s="24">
        <v>4000</v>
      </c>
      <c r="H130" s="24">
        <v>1000</v>
      </c>
      <c r="I130" s="24">
        <v>0</v>
      </c>
      <c r="J130" s="24">
        <f t="shared" ref="J130:J139" si="43">(1-$D130)*E130</f>
        <v>0</v>
      </c>
      <c r="K130" s="24">
        <f t="shared" ref="K130:K139" si="44">(1-$D130)*F130</f>
        <v>19500</v>
      </c>
      <c r="L130" s="24">
        <f t="shared" ref="L130:L139" si="45">G130</f>
        <v>4000</v>
      </c>
      <c r="M130" s="24">
        <f t="shared" ref="M130:M139" si="46">(1-$D130)*H130</f>
        <v>750</v>
      </c>
      <c r="N130" s="24">
        <f t="shared" ref="N130:N139" si="47">(1-$D130)*I130</f>
        <v>0</v>
      </c>
      <c r="O130" s="24">
        <v>12480</v>
      </c>
      <c r="P130" s="24">
        <v>7550</v>
      </c>
      <c r="Q130" s="24">
        <v>0</v>
      </c>
      <c r="R130" s="24">
        <v>0</v>
      </c>
      <c r="S130" s="24">
        <v>0</v>
      </c>
      <c r="T130" s="24">
        <v>6000</v>
      </c>
      <c r="U130" s="24">
        <v>0</v>
      </c>
      <c r="V130" s="24">
        <v>0</v>
      </c>
      <c r="W130" s="24">
        <v>0</v>
      </c>
      <c r="X130" s="24">
        <v>0</v>
      </c>
      <c r="Y130" s="24">
        <v>1250</v>
      </c>
      <c r="Z130" s="24">
        <f t="shared" ref="Z130:Z139" si="48">SUM(J130:Y130)</f>
        <v>51530</v>
      </c>
      <c r="AA130" s="24">
        <v>10000</v>
      </c>
      <c r="AB130" s="20">
        <f t="shared" ref="AB130:AB139" si="49">Z130-AA130</f>
        <v>41530</v>
      </c>
      <c r="AC130" s="24" t="str">
        <f t="shared" si="40"/>
        <v/>
      </c>
      <c r="AD130" s="24" t="str">
        <f t="shared" si="41"/>
        <v/>
      </c>
      <c r="AE130" s="24" t="str">
        <f t="shared" si="42"/>
        <v/>
      </c>
      <c r="AF130" s="25" t="s">
        <v>325</v>
      </c>
    </row>
    <row r="131" spans="1:32" x14ac:dyDescent="0.25">
      <c r="A131" s="22" t="s">
        <v>184</v>
      </c>
      <c r="B131" s="22" t="s">
        <v>185</v>
      </c>
      <c r="C131" s="22" t="s">
        <v>33</v>
      </c>
      <c r="D131" s="23">
        <v>0.25</v>
      </c>
      <c r="E131" s="24">
        <v>0</v>
      </c>
      <c r="F131" s="24">
        <v>28000</v>
      </c>
      <c r="G131" s="24">
        <v>4000</v>
      </c>
      <c r="H131" s="24">
        <v>2500</v>
      </c>
      <c r="I131" s="24">
        <v>5000</v>
      </c>
      <c r="J131" s="24">
        <f t="shared" si="43"/>
        <v>0</v>
      </c>
      <c r="K131" s="24">
        <f t="shared" si="44"/>
        <v>21000</v>
      </c>
      <c r="L131" s="24">
        <f t="shared" si="45"/>
        <v>4000</v>
      </c>
      <c r="M131" s="24">
        <f t="shared" si="46"/>
        <v>1875</v>
      </c>
      <c r="N131" s="24">
        <f t="shared" si="47"/>
        <v>3750</v>
      </c>
      <c r="O131" s="24">
        <v>25970</v>
      </c>
      <c r="P131" s="24">
        <v>11330</v>
      </c>
      <c r="Q131" s="24">
        <v>0</v>
      </c>
      <c r="R131" s="24">
        <v>0</v>
      </c>
      <c r="S131" s="24">
        <v>0</v>
      </c>
      <c r="T131" s="24">
        <v>6000</v>
      </c>
      <c r="U131" s="24">
        <v>0</v>
      </c>
      <c r="V131" s="24">
        <v>0</v>
      </c>
      <c r="W131" s="24">
        <v>0</v>
      </c>
      <c r="X131" s="24">
        <v>0</v>
      </c>
      <c r="Y131" s="24">
        <v>9500</v>
      </c>
      <c r="Z131" s="24">
        <f t="shared" si="48"/>
        <v>83425</v>
      </c>
      <c r="AA131" s="24">
        <v>0</v>
      </c>
      <c r="AB131" s="20">
        <f t="shared" si="49"/>
        <v>83425</v>
      </c>
      <c r="AC131" s="24" t="str">
        <f t="shared" si="40"/>
        <v/>
      </c>
      <c r="AD131" s="24" t="str">
        <f t="shared" si="41"/>
        <v/>
      </c>
      <c r="AE131" s="24" t="str">
        <f t="shared" si="42"/>
        <v/>
      </c>
      <c r="AF131" s="25" t="s">
        <v>325</v>
      </c>
    </row>
    <row r="132" spans="1:32" x14ac:dyDescent="0.25">
      <c r="A132" s="22" t="s">
        <v>184</v>
      </c>
      <c r="B132" s="22" t="s">
        <v>186</v>
      </c>
      <c r="C132" s="22" t="s">
        <v>59</v>
      </c>
      <c r="D132" s="23">
        <v>0.25</v>
      </c>
      <c r="E132" s="24">
        <v>0</v>
      </c>
      <c r="F132" s="24">
        <v>28000</v>
      </c>
      <c r="G132" s="24">
        <v>4000</v>
      </c>
      <c r="H132" s="24">
        <v>0</v>
      </c>
      <c r="I132" s="24">
        <v>5000</v>
      </c>
      <c r="J132" s="24">
        <f t="shared" si="43"/>
        <v>0</v>
      </c>
      <c r="K132" s="24">
        <f t="shared" si="44"/>
        <v>21000</v>
      </c>
      <c r="L132" s="24">
        <f t="shared" si="45"/>
        <v>4000</v>
      </c>
      <c r="M132" s="24">
        <f t="shared" si="46"/>
        <v>0</v>
      </c>
      <c r="N132" s="24">
        <f t="shared" si="47"/>
        <v>3750</v>
      </c>
      <c r="O132" s="24">
        <v>27330</v>
      </c>
      <c r="P132" s="24">
        <v>13230</v>
      </c>
      <c r="Q132" s="24">
        <v>0</v>
      </c>
      <c r="R132" s="24">
        <v>0</v>
      </c>
      <c r="S132" s="24">
        <v>0</v>
      </c>
      <c r="T132" s="24">
        <v>6000</v>
      </c>
      <c r="U132" s="24">
        <v>0</v>
      </c>
      <c r="V132" s="24">
        <v>0</v>
      </c>
      <c r="W132" s="24">
        <v>0</v>
      </c>
      <c r="X132" s="24">
        <v>0</v>
      </c>
      <c r="Y132" s="24">
        <v>0</v>
      </c>
      <c r="Z132" s="24">
        <f t="shared" si="48"/>
        <v>75310</v>
      </c>
      <c r="AA132" s="24">
        <v>0</v>
      </c>
      <c r="AB132" s="20">
        <f t="shared" si="49"/>
        <v>75310</v>
      </c>
      <c r="AC132" s="24" t="str">
        <f t="shared" si="40"/>
        <v/>
      </c>
      <c r="AD132" s="24" t="str">
        <f t="shared" si="41"/>
        <v/>
      </c>
      <c r="AE132" s="24" t="str">
        <f t="shared" si="42"/>
        <v/>
      </c>
      <c r="AF132" s="25" t="s">
        <v>325</v>
      </c>
    </row>
    <row r="133" spans="1:32" x14ac:dyDescent="0.25">
      <c r="A133" s="22" t="s">
        <v>220</v>
      </c>
      <c r="B133" s="22" t="s">
        <v>221</v>
      </c>
      <c r="C133" s="22" t="s">
        <v>49</v>
      </c>
      <c r="D133" s="23">
        <v>0</v>
      </c>
      <c r="E133" s="24">
        <v>0</v>
      </c>
      <c r="F133" s="24">
        <v>26000</v>
      </c>
      <c r="G133" s="24">
        <v>4000</v>
      </c>
      <c r="H133" s="24">
        <v>1000</v>
      </c>
      <c r="I133" s="24">
        <v>0</v>
      </c>
      <c r="J133" s="24">
        <f t="shared" si="43"/>
        <v>0</v>
      </c>
      <c r="K133" s="24">
        <f t="shared" si="44"/>
        <v>26000</v>
      </c>
      <c r="L133" s="24">
        <f t="shared" si="45"/>
        <v>4000</v>
      </c>
      <c r="M133" s="24">
        <f t="shared" si="46"/>
        <v>1000</v>
      </c>
      <c r="N133" s="24">
        <f t="shared" si="47"/>
        <v>0</v>
      </c>
      <c r="O133" s="24">
        <v>6840</v>
      </c>
      <c r="P133" s="24">
        <v>5300</v>
      </c>
      <c r="Q133" s="24">
        <v>0</v>
      </c>
      <c r="R133" s="24">
        <v>0</v>
      </c>
      <c r="S133" s="24">
        <v>0</v>
      </c>
      <c r="T133" s="24">
        <v>0</v>
      </c>
      <c r="U133" s="24">
        <v>0</v>
      </c>
      <c r="V133" s="24">
        <v>0</v>
      </c>
      <c r="W133" s="24">
        <v>0</v>
      </c>
      <c r="X133" s="24">
        <v>0</v>
      </c>
      <c r="Y133" s="24">
        <v>1000</v>
      </c>
      <c r="Z133" s="24">
        <f t="shared" si="48"/>
        <v>44140</v>
      </c>
      <c r="AA133" s="24">
        <v>44140</v>
      </c>
      <c r="AB133" s="20">
        <f t="shared" si="49"/>
        <v>0</v>
      </c>
      <c r="AC133" s="24" t="str">
        <f t="shared" si="40"/>
        <v/>
      </c>
      <c r="AD133" s="24" t="str">
        <f t="shared" si="41"/>
        <v/>
      </c>
      <c r="AE133" s="24" t="str">
        <f t="shared" si="42"/>
        <v/>
      </c>
      <c r="AF133" s="25" t="s">
        <v>325</v>
      </c>
    </row>
    <row r="134" spans="1:32" x14ac:dyDescent="0.25">
      <c r="A134" s="22" t="s">
        <v>130</v>
      </c>
      <c r="B134" s="22" t="s">
        <v>131</v>
      </c>
      <c r="C134" s="22" t="s">
        <v>67</v>
      </c>
      <c r="D134" s="23">
        <v>0.3</v>
      </c>
      <c r="E134" s="24">
        <v>0</v>
      </c>
      <c r="F134" s="24">
        <v>33000</v>
      </c>
      <c r="G134" s="24">
        <v>5000</v>
      </c>
      <c r="H134" s="24">
        <v>2000</v>
      </c>
      <c r="I134" s="24">
        <v>6000</v>
      </c>
      <c r="J134" s="24">
        <f t="shared" si="43"/>
        <v>0</v>
      </c>
      <c r="K134" s="24">
        <f t="shared" si="44"/>
        <v>23100</v>
      </c>
      <c r="L134" s="24">
        <f t="shared" si="45"/>
        <v>5000</v>
      </c>
      <c r="M134" s="24">
        <f t="shared" si="46"/>
        <v>1400</v>
      </c>
      <c r="N134" s="24">
        <f t="shared" si="47"/>
        <v>4200</v>
      </c>
      <c r="O134" s="24">
        <v>22400</v>
      </c>
      <c r="P134" s="24">
        <v>14330</v>
      </c>
      <c r="Q134" s="24">
        <v>0</v>
      </c>
      <c r="R134" s="24">
        <v>0</v>
      </c>
      <c r="S134" s="24">
        <v>0</v>
      </c>
      <c r="T134" s="24">
        <v>8000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f t="shared" si="48"/>
        <v>78430</v>
      </c>
      <c r="AA134" s="24">
        <v>0</v>
      </c>
      <c r="AB134" s="20">
        <f t="shared" si="49"/>
        <v>78430</v>
      </c>
      <c r="AC134" s="24" t="str">
        <f t="shared" si="40"/>
        <v/>
      </c>
      <c r="AD134" s="24" t="str">
        <f t="shared" si="41"/>
        <v/>
      </c>
      <c r="AE134" s="24" t="str">
        <f t="shared" si="42"/>
        <v/>
      </c>
      <c r="AF134" s="25" t="s">
        <v>325</v>
      </c>
    </row>
    <row r="135" spans="1:32" x14ac:dyDescent="0.25">
      <c r="A135" s="22" t="s">
        <v>130</v>
      </c>
      <c r="B135" s="22" t="s">
        <v>132</v>
      </c>
      <c r="C135" s="22" t="s">
        <v>70</v>
      </c>
      <c r="D135" s="23">
        <v>0.25</v>
      </c>
      <c r="E135" s="24">
        <v>0</v>
      </c>
      <c r="F135" s="24">
        <v>40000</v>
      </c>
      <c r="G135" s="24">
        <v>5000</v>
      </c>
      <c r="H135" s="24">
        <v>2000</v>
      </c>
      <c r="I135" s="24">
        <v>8000</v>
      </c>
      <c r="J135" s="24">
        <f t="shared" si="43"/>
        <v>0</v>
      </c>
      <c r="K135" s="24">
        <f t="shared" si="44"/>
        <v>30000</v>
      </c>
      <c r="L135" s="24">
        <f t="shared" si="45"/>
        <v>5000</v>
      </c>
      <c r="M135" s="24">
        <f t="shared" si="46"/>
        <v>1500</v>
      </c>
      <c r="N135" s="24">
        <f t="shared" si="47"/>
        <v>6000</v>
      </c>
      <c r="O135" s="24">
        <v>11880</v>
      </c>
      <c r="P135" s="24">
        <v>14330</v>
      </c>
      <c r="Q135" s="24">
        <v>0</v>
      </c>
      <c r="R135" s="24">
        <v>0</v>
      </c>
      <c r="S135" s="24">
        <v>0</v>
      </c>
      <c r="T135" s="24">
        <v>0</v>
      </c>
      <c r="U135" s="24">
        <v>0</v>
      </c>
      <c r="V135" s="24">
        <v>0</v>
      </c>
      <c r="W135" s="24">
        <v>0</v>
      </c>
      <c r="X135" s="24">
        <v>0</v>
      </c>
      <c r="Y135" s="24">
        <v>0</v>
      </c>
      <c r="Z135" s="24">
        <f t="shared" si="48"/>
        <v>68710</v>
      </c>
      <c r="AA135" s="24">
        <v>0</v>
      </c>
      <c r="AB135" s="20">
        <f t="shared" si="49"/>
        <v>68710</v>
      </c>
      <c r="AC135" s="24" t="str">
        <f t="shared" si="40"/>
        <v/>
      </c>
      <c r="AD135" s="24" t="str">
        <f t="shared" si="41"/>
        <v/>
      </c>
      <c r="AE135" s="24" t="str">
        <f t="shared" si="42"/>
        <v/>
      </c>
      <c r="AF135" s="25" t="s">
        <v>325</v>
      </c>
    </row>
    <row r="136" spans="1:32" x14ac:dyDescent="0.25">
      <c r="A136" s="22" t="s">
        <v>133</v>
      </c>
      <c r="B136" s="22" t="s">
        <v>134</v>
      </c>
      <c r="C136" s="22" t="s">
        <v>48</v>
      </c>
      <c r="D136" s="23">
        <v>0</v>
      </c>
      <c r="E136" s="24">
        <v>0</v>
      </c>
      <c r="F136" s="24">
        <v>28000</v>
      </c>
      <c r="G136" s="24">
        <v>4000</v>
      </c>
      <c r="H136" s="24">
        <v>0</v>
      </c>
      <c r="I136" s="24">
        <v>5000</v>
      </c>
      <c r="J136" s="24">
        <f t="shared" si="43"/>
        <v>0</v>
      </c>
      <c r="K136" s="24">
        <f t="shared" si="44"/>
        <v>28000</v>
      </c>
      <c r="L136" s="24">
        <f t="shared" si="45"/>
        <v>4000</v>
      </c>
      <c r="M136" s="24">
        <f t="shared" si="46"/>
        <v>0</v>
      </c>
      <c r="N136" s="24">
        <f t="shared" si="47"/>
        <v>5000</v>
      </c>
      <c r="O136" s="24">
        <v>26150</v>
      </c>
      <c r="P136" s="24">
        <v>11330</v>
      </c>
      <c r="Q136" s="24">
        <v>0</v>
      </c>
      <c r="R136" s="24">
        <v>0</v>
      </c>
      <c r="S136" s="24">
        <v>0</v>
      </c>
      <c r="T136" s="24">
        <v>0</v>
      </c>
      <c r="U136" s="24">
        <v>0</v>
      </c>
      <c r="V136" s="24">
        <v>0</v>
      </c>
      <c r="W136" s="24">
        <v>0</v>
      </c>
      <c r="X136" s="24">
        <v>0</v>
      </c>
      <c r="Y136" s="24">
        <v>4020</v>
      </c>
      <c r="Z136" s="24">
        <f t="shared" si="48"/>
        <v>78500</v>
      </c>
      <c r="AA136" s="24">
        <v>50000</v>
      </c>
      <c r="AB136" s="20">
        <f t="shared" si="49"/>
        <v>28500</v>
      </c>
      <c r="AC136" s="24" t="str">
        <f t="shared" si="40"/>
        <v/>
      </c>
      <c r="AD136" s="24" t="str">
        <f t="shared" si="41"/>
        <v/>
      </c>
      <c r="AE136" s="24" t="str">
        <f t="shared" si="42"/>
        <v/>
      </c>
      <c r="AF136" s="25" t="s">
        <v>325</v>
      </c>
    </row>
    <row r="137" spans="1:32" x14ac:dyDescent="0.25">
      <c r="A137" s="22" t="s">
        <v>135</v>
      </c>
      <c r="B137" s="22" t="s">
        <v>218</v>
      </c>
      <c r="C137" s="22" t="s">
        <v>49</v>
      </c>
      <c r="D137" s="23">
        <v>0.25</v>
      </c>
      <c r="E137" s="24">
        <v>0</v>
      </c>
      <c r="F137" s="24">
        <v>26000</v>
      </c>
      <c r="G137" s="24">
        <v>4000</v>
      </c>
      <c r="H137" s="24">
        <v>1000</v>
      </c>
      <c r="I137" s="24">
        <v>0</v>
      </c>
      <c r="J137" s="24">
        <f t="shared" si="43"/>
        <v>0</v>
      </c>
      <c r="K137" s="24">
        <f t="shared" si="44"/>
        <v>19500</v>
      </c>
      <c r="L137" s="24">
        <f t="shared" si="45"/>
        <v>4000</v>
      </c>
      <c r="M137" s="24">
        <f t="shared" si="46"/>
        <v>750</v>
      </c>
      <c r="N137" s="24">
        <f t="shared" si="47"/>
        <v>0</v>
      </c>
      <c r="O137" s="24">
        <v>6840</v>
      </c>
      <c r="P137" s="24">
        <v>5300</v>
      </c>
      <c r="Q137" s="24">
        <v>0</v>
      </c>
      <c r="R137" s="24">
        <v>0</v>
      </c>
      <c r="S137" s="24">
        <v>0</v>
      </c>
      <c r="T137" s="24">
        <v>0</v>
      </c>
      <c r="U137" s="24">
        <v>0</v>
      </c>
      <c r="V137" s="24">
        <v>0</v>
      </c>
      <c r="W137" s="24">
        <v>0</v>
      </c>
      <c r="X137" s="24">
        <v>0</v>
      </c>
      <c r="Y137" s="24">
        <v>0</v>
      </c>
      <c r="Z137" s="24">
        <f t="shared" si="48"/>
        <v>36390</v>
      </c>
      <c r="AA137" s="24">
        <v>7070</v>
      </c>
      <c r="AB137" s="20">
        <f t="shared" si="49"/>
        <v>29320</v>
      </c>
      <c r="AC137" s="24" t="str">
        <f t="shared" si="40"/>
        <v/>
      </c>
      <c r="AD137" s="24" t="str">
        <f t="shared" si="41"/>
        <v/>
      </c>
      <c r="AE137" s="24" t="str">
        <f t="shared" si="42"/>
        <v/>
      </c>
      <c r="AF137" s="25" t="s">
        <v>325</v>
      </c>
    </row>
    <row r="138" spans="1:32" x14ac:dyDescent="0.25">
      <c r="A138" s="22" t="s">
        <v>135</v>
      </c>
      <c r="B138" s="22" t="s">
        <v>136</v>
      </c>
      <c r="C138" s="22" t="s">
        <v>30</v>
      </c>
      <c r="D138" s="23">
        <v>0.3</v>
      </c>
      <c r="E138" s="24">
        <v>0</v>
      </c>
      <c r="F138" s="24">
        <v>26000</v>
      </c>
      <c r="G138" s="24">
        <v>4000</v>
      </c>
      <c r="H138" s="24">
        <v>1000</v>
      </c>
      <c r="I138" s="24">
        <v>0</v>
      </c>
      <c r="J138" s="24">
        <f t="shared" si="43"/>
        <v>0</v>
      </c>
      <c r="K138" s="24">
        <f t="shared" si="44"/>
        <v>18200</v>
      </c>
      <c r="L138" s="24">
        <f t="shared" si="45"/>
        <v>4000</v>
      </c>
      <c r="M138" s="24">
        <f t="shared" si="46"/>
        <v>700</v>
      </c>
      <c r="N138" s="24">
        <f t="shared" si="47"/>
        <v>0</v>
      </c>
      <c r="O138" s="24">
        <v>12480</v>
      </c>
      <c r="P138" s="24">
        <v>7550</v>
      </c>
      <c r="Q138" s="24">
        <v>0</v>
      </c>
      <c r="R138" s="24">
        <v>0</v>
      </c>
      <c r="S138" s="24">
        <v>0</v>
      </c>
      <c r="T138" s="24">
        <v>0</v>
      </c>
      <c r="U138" s="24">
        <v>0</v>
      </c>
      <c r="V138" s="24">
        <v>0</v>
      </c>
      <c r="W138" s="24">
        <v>0</v>
      </c>
      <c r="X138" s="24">
        <v>0</v>
      </c>
      <c r="Y138" s="24">
        <v>0</v>
      </c>
      <c r="Z138" s="24">
        <f t="shared" si="48"/>
        <v>42930</v>
      </c>
      <c r="AA138" s="24">
        <v>42930</v>
      </c>
      <c r="AB138" s="20">
        <f t="shared" si="49"/>
        <v>0</v>
      </c>
      <c r="AC138" s="24" t="str">
        <f t="shared" si="40"/>
        <v/>
      </c>
      <c r="AD138" s="24" t="str">
        <f t="shared" si="41"/>
        <v/>
      </c>
      <c r="AE138" s="24" t="str">
        <f t="shared" si="42"/>
        <v/>
      </c>
      <c r="AF138" s="25" t="s">
        <v>326</v>
      </c>
    </row>
    <row r="139" spans="1:32" x14ac:dyDescent="0.25">
      <c r="A139" s="22" t="s">
        <v>137</v>
      </c>
      <c r="B139" s="22" t="s">
        <v>138</v>
      </c>
      <c r="C139" s="22" t="s">
        <v>44</v>
      </c>
      <c r="D139" s="23">
        <v>0</v>
      </c>
      <c r="E139" s="24">
        <v>0</v>
      </c>
      <c r="F139" s="24">
        <v>26000</v>
      </c>
      <c r="G139" s="24">
        <v>4000</v>
      </c>
      <c r="H139" s="24">
        <v>0</v>
      </c>
      <c r="I139" s="24">
        <v>0</v>
      </c>
      <c r="J139" s="24">
        <f t="shared" si="43"/>
        <v>0</v>
      </c>
      <c r="K139" s="24">
        <f t="shared" si="44"/>
        <v>26000</v>
      </c>
      <c r="L139" s="24">
        <f t="shared" si="45"/>
        <v>4000</v>
      </c>
      <c r="M139" s="24">
        <f t="shared" si="46"/>
        <v>0</v>
      </c>
      <c r="N139" s="24">
        <f t="shared" si="47"/>
        <v>0</v>
      </c>
      <c r="O139" s="24">
        <v>13380</v>
      </c>
      <c r="P139" s="24">
        <v>3500</v>
      </c>
      <c r="Q139" s="24">
        <v>0</v>
      </c>
      <c r="R139" s="24">
        <v>0</v>
      </c>
      <c r="S139" s="24">
        <v>0</v>
      </c>
      <c r="T139" s="24">
        <v>0</v>
      </c>
      <c r="U139" s="24">
        <v>0</v>
      </c>
      <c r="V139" s="24">
        <v>0</v>
      </c>
      <c r="W139" s="24">
        <v>0</v>
      </c>
      <c r="X139" s="24">
        <v>0</v>
      </c>
      <c r="Y139" s="24">
        <v>0</v>
      </c>
      <c r="Z139" s="24">
        <f t="shared" si="48"/>
        <v>46880</v>
      </c>
      <c r="AA139" s="24">
        <v>46880</v>
      </c>
      <c r="AB139" s="20">
        <f t="shared" si="49"/>
        <v>0</v>
      </c>
      <c r="AC139" s="24" t="str">
        <f t="shared" si="40"/>
        <v/>
      </c>
      <c r="AD139" s="24" t="str">
        <f t="shared" si="41"/>
        <v/>
      </c>
      <c r="AE139" s="24" t="str">
        <f t="shared" si="42"/>
        <v/>
      </c>
      <c r="AF139" s="25" t="s">
        <v>325</v>
      </c>
    </row>
    <row r="140" spans="1:32" x14ac:dyDescent="0.25">
      <c r="A140" s="26"/>
      <c r="B140" s="26"/>
      <c r="C140" s="26"/>
      <c r="D140" s="27"/>
      <c r="E140" s="28"/>
      <c r="F140" s="28"/>
      <c r="G140" s="28"/>
      <c r="H140" s="28"/>
      <c r="I140" s="28"/>
      <c r="J140" s="28">
        <f t="shared" ref="J140:AF140" si="50">SUM(J2:J139)</f>
        <v>38500</v>
      </c>
      <c r="K140" s="28">
        <f t="shared" si="50"/>
        <v>3122300</v>
      </c>
      <c r="L140" s="28">
        <f t="shared" si="50"/>
        <v>572000</v>
      </c>
      <c r="M140" s="28">
        <f t="shared" si="50"/>
        <v>103200</v>
      </c>
      <c r="N140" s="28">
        <f t="shared" si="50"/>
        <v>296750</v>
      </c>
      <c r="O140" s="28">
        <f t="shared" si="50"/>
        <v>2414170</v>
      </c>
      <c r="P140" s="28">
        <f t="shared" si="50"/>
        <v>1382380</v>
      </c>
      <c r="Q140" s="28">
        <f t="shared" si="50"/>
        <v>344000</v>
      </c>
      <c r="R140" s="28">
        <f t="shared" si="50"/>
        <v>144000</v>
      </c>
      <c r="S140" s="28">
        <f t="shared" si="50"/>
        <v>124000</v>
      </c>
      <c r="T140" s="28">
        <f t="shared" si="50"/>
        <v>264000</v>
      </c>
      <c r="U140" s="28">
        <f t="shared" si="50"/>
        <v>0</v>
      </c>
      <c r="V140" s="28">
        <f t="shared" si="50"/>
        <v>0</v>
      </c>
      <c r="W140" s="28">
        <f t="shared" si="50"/>
        <v>0</v>
      </c>
      <c r="X140" s="28">
        <f t="shared" si="50"/>
        <v>0</v>
      </c>
      <c r="Y140" s="28">
        <f t="shared" si="50"/>
        <v>188670</v>
      </c>
      <c r="Z140" s="28">
        <f t="shared" si="50"/>
        <v>8993970</v>
      </c>
      <c r="AA140" s="28">
        <f t="shared" si="50"/>
        <v>4405905</v>
      </c>
      <c r="AB140" s="28">
        <f t="shared" si="50"/>
        <v>4588065</v>
      </c>
      <c r="AC140" s="28">
        <f t="shared" si="50"/>
        <v>54000</v>
      </c>
      <c r="AD140" s="28">
        <f t="shared" si="50"/>
        <v>0</v>
      </c>
      <c r="AE140" s="28">
        <f t="shared" si="50"/>
        <v>0</v>
      </c>
      <c r="AF140" s="28">
        <f t="shared" si="50"/>
        <v>0</v>
      </c>
    </row>
    <row r="141" spans="1:32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2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2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2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2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2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2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2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2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2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2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2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2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2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2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2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2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2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2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2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2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4"/>
      <c r="AC267" s="33"/>
      <c r="AD267" s="33"/>
    </row>
    <row r="268" spans="1:30" x14ac:dyDescent="0.25">
      <c r="A268" s="29"/>
      <c r="B268" s="29"/>
      <c r="C268" s="29"/>
      <c r="D268" s="30"/>
      <c r="E268" s="31"/>
      <c r="F268" s="31"/>
      <c r="G268" s="31"/>
      <c r="H268" s="31"/>
      <c r="I268" s="31"/>
      <c r="J268" s="31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34"/>
      <c r="AC268" s="33"/>
      <c r="AD268" s="33"/>
    </row>
    <row r="269" spans="1:30" x14ac:dyDescent="0.25">
      <c r="A269" s="29"/>
      <c r="B269" s="29"/>
      <c r="C269" s="29"/>
      <c r="D269" s="30"/>
      <c r="E269" s="31"/>
      <c r="F269" s="31"/>
      <c r="G269" s="31"/>
      <c r="H269" s="31"/>
      <c r="I269" s="31"/>
      <c r="J269" s="31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34"/>
      <c r="AC269" s="33"/>
      <c r="AD269" s="33"/>
    </row>
    <row r="270" spans="1:30" x14ac:dyDescent="0.25">
      <c r="A270" s="29"/>
      <c r="B270" s="29"/>
      <c r="C270" s="29"/>
      <c r="D270" s="30"/>
      <c r="E270" s="31"/>
      <c r="F270" s="31"/>
      <c r="G270" s="31"/>
      <c r="H270" s="31"/>
      <c r="I270" s="31"/>
      <c r="J270" s="31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34"/>
      <c r="AC270" s="33"/>
      <c r="AD270" s="33"/>
    </row>
    <row r="271" spans="1:30" x14ac:dyDescent="0.25">
      <c r="A271" s="29"/>
      <c r="B271" s="29"/>
      <c r="C271" s="29"/>
      <c r="D271" s="30"/>
      <c r="E271" s="31"/>
      <c r="F271" s="31"/>
      <c r="G271" s="31"/>
      <c r="H271" s="31"/>
      <c r="I271" s="31"/>
      <c r="J271" s="31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34"/>
      <c r="AC271" s="33"/>
      <c r="AD271" s="33"/>
    </row>
    <row r="272" spans="1:30" x14ac:dyDescent="0.25">
      <c r="A272" s="29"/>
      <c r="B272" s="29"/>
      <c r="C272" s="29"/>
      <c r="D272" s="30"/>
      <c r="E272" s="31"/>
      <c r="F272" s="31"/>
      <c r="G272" s="31"/>
      <c r="H272" s="31"/>
      <c r="I272" s="31"/>
      <c r="J272" s="31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34"/>
      <c r="AC272" s="33"/>
      <c r="AD272" s="33"/>
    </row>
    <row r="273" spans="1:30" x14ac:dyDescent="0.25">
      <c r="A273" s="29"/>
      <c r="B273" s="29"/>
      <c r="C273" s="29"/>
      <c r="D273" s="30"/>
      <c r="E273" s="31"/>
      <c r="F273" s="31"/>
      <c r="G273" s="31"/>
      <c r="H273" s="31"/>
      <c r="I273" s="31"/>
      <c r="J273" s="31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34"/>
      <c r="AC273" s="33"/>
      <c r="AD273" s="33"/>
    </row>
    <row r="274" spans="1:30" x14ac:dyDescent="0.25">
      <c r="A274" s="29"/>
      <c r="B274" s="29"/>
      <c r="C274" s="29"/>
      <c r="D274" s="30"/>
      <c r="E274" s="31"/>
      <c r="F274" s="31"/>
      <c r="G274" s="31"/>
      <c r="H274" s="31"/>
      <c r="I274" s="31"/>
      <c r="J274" s="31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34"/>
      <c r="AC274" s="33"/>
      <c r="AD274" s="33"/>
    </row>
    <row r="275" spans="1:30" x14ac:dyDescent="0.25">
      <c r="A275" s="29"/>
      <c r="B275" s="29"/>
      <c r="C275" s="29"/>
      <c r="D275" s="30"/>
      <c r="E275" s="31"/>
      <c r="F275" s="31"/>
      <c r="G275" s="31"/>
      <c r="H275" s="31"/>
      <c r="I275" s="31"/>
      <c r="J275" s="31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34"/>
      <c r="AC275" s="33"/>
      <c r="AD275" s="33"/>
    </row>
    <row r="276" spans="1:30" x14ac:dyDescent="0.25">
      <c r="A276" s="29"/>
      <c r="B276" s="29"/>
      <c r="C276" s="29"/>
      <c r="D276" s="30"/>
      <c r="E276" s="31"/>
      <c r="F276" s="31"/>
      <c r="G276" s="31"/>
      <c r="H276" s="31"/>
      <c r="I276" s="31"/>
      <c r="J276" s="31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34"/>
      <c r="AC276" s="33"/>
      <c r="AD276" s="33"/>
    </row>
    <row r="277" spans="1:30" x14ac:dyDescent="0.25">
      <c r="A277" s="29"/>
      <c r="B277" s="29"/>
      <c r="C277" s="29"/>
      <c r="D277" s="30"/>
      <c r="E277" s="31"/>
      <c r="F277" s="31"/>
      <c r="G277" s="31"/>
      <c r="H277" s="31"/>
      <c r="I277" s="31"/>
      <c r="J277" s="31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34"/>
      <c r="AC277" s="33"/>
      <c r="AD277" s="33"/>
    </row>
    <row r="278" spans="1:30" x14ac:dyDescent="0.25">
      <c r="A278" s="29"/>
      <c r="B278" s="29"/>
      <c r="C278" s="29"/>
      <c r="D278" s="30"/>
      <c r="E278" s="31"/>
      <c r="F278" s="31"/>
      <c r="G278" s="31"/>
      <c r="H278" s="31"/>
      <c r="I278" s="31"/>
      <c r="J278" s="31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34"/>
      <c r="AC278" s="33"/>
      <c r="AD278" s="33"/>
    </row>
    <row r="279" spans="1:30" x14ac:dyDescent="0.25">
      <c r="A279" s="29"/>
      <c r="B279" s="29"/>
      <c r="C279" s="29"/>
      <c r="D279" s="30"/>
      <c r="E279" s="31"/>
      <c r="F279" s="31"/>
      <c r="G279" s="31"/>
      <c r="H279" s="31"/>
      <c r="I279" s="31"/>
      <c r="J279" s="31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34"/>
      <c r="AC279" s="33"/>
      <c r="AD279" s="33"/>
    </row>
    <row r="280" spans="1:30" x14ac:dyDescent="0.25">
      <c r="A280" s="29"/>
      <c r="B280" s="29"/>
      <c r="C280" s="29"/>
      <c r="D280" s="30"/>
      <c r="E280" s="31"/>
      <c r="F280" s="31"/>
      <c r="G280" s="31"/>
      <c r="H280" s="31"/>
      <c r="I280" s="31"/>
      <c r="J280" s="31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34"/>
      <c r="AC280" s="33"/>
      <c r="AD280" s="33"/>
    </row>
    <row r="281" spans="1:30" x14ac:dyDescent="0.25">
      <c r="A281" s="29"/>
      <c r="B281" s="29"/>
      <c r="C281" s="29"/>
      <c r="D281" s="30"/>
      <c r="E281" s="31"/>
      <c r="F281" s="31"/>
      <c r="G281" s="31"/>
      <c r="H281" s="31"/>
      <c r="I281" s="31"/>
      <c r="J281" s="31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34"/>
      <c r="AC281" s="33"/>
      <c r="AD281" s="33"/>
    </row>
    <row r="282" spans="1:30" x14ac:dyDescent="0.25">
      <c r="A282" s="29"/>
      <c r="B282" s="29"/>
      <c r="C282" s="29"/>
      <c r="D282" s="30"/>
      <c r="E282" s="31"/>
      <c r="F282" s="31"/>
      <c r="G282" s="31"/>
      <c r="H282" s="31"/>
      <c r="I282" s="31"/>
      <c r="J282" s="31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34"/>
      <c r="AC282" s="33"/>
      <c r="AD282" s="33"/>
    </row>
    <row r="283" spans="1:30" x14ac:dyDescent="0.25">
      <c r="A283" s="29"/>
      <c r="B283" s="29"/>
      <c r="C283" s="29"/>
      <c r="D283" s="30"/>
      <c r="E283" s="31"/>
      <c r="F283" s="31"/>
      <c r="G283" s="31"/>
      <c r="H283" s="31"/>
      <c r="I283" s="31"/>
      <c r="J283" s="31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34"/>
      <c r="AC283" s="33"/>
      <c r="AD283" s="33"/>
    </row>
    <row r="284" spans="1:30" x14ac:dyDescent="0.25">
      <c r="A284" s="29"/>
      <c r="B284" s="29"/>
      <c r="C284" s="29"/>
      <c r="D284" s="30"/>
      <c r="E284" s="31"/>
      <c r="F284" s="31"/>
      <c r="G284" s="31"/>
      <c r="H284" s="31"/>
      <c r="I284" s="31"/>
      <c r="J284" s="31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C284" s="33"/>
      <c r="AD284" s="33"/>
    </row>
    <row r="285" spans="1:30" x14ac:dyDescent="0.25">
      <c r="AC285" s="33"/>
      <c r="AD285" s="33"/>
    </row>
    <row r="286" spans="1:30" x14ac:dyDescent="0.25">
      <c r="AC286" s="33"/>
      <c r="AD286" s="33"/>
    </row>
    <row r="287" spans="1:30" x14ac:dyDescent="0.25">
      <c r="AC287" s="33"/>
      <c r="AD287" s="33"/>
    </row>
    <row r="288" spans="1:30" x14ac:dyDescent="0.25">
      <c r="AC288" s="33"/>
      <c r="AD288" s="33"/>
    </row>
    <row r="289" spans="29:30" x14ac:dyDescent="0.25">
      <c r="AC289" s="33"/>
      <c r="AD289" s="33"/>
    </row>
    <row r="290" spans="29:30" x14ac:dyDescent="0.25">
      <c r="AC290" s="33"/>
      <c r="AD290" s="33"/>
    </row>
    <row r="291" spans="29:30" x14ac:dyDescent="0.25">
      <c r="AC291" s="33"/>
      <c r="AD291" s="33"/>
    </row>
    <row r="292" spans="29:30" x14ac:dyDescent="0.25">
      <c r="AC292" s="33"/>
      <c r="AD292" s="33"/>
    </row>
    <row r="293" spans="29:30" x14ac:dyDescent="0.25">
      <c r="AC293" s="33"/>
      <c r="AD293" s="33"/>
    </row>
    <row r="294" spans="29:30" x14ac:dyDescent="0.25">
      <c r="AC294" s="33"/>
      <c r="AD294" s="33"/>
    </row>
    <row r="295" spans="29:30" x14ac:dyDescent="0.25">
      <c r="AC295" s="33"/>
      <c r="AD295" s="33"/>
    </row>
    <row r="296" spans="29:30" x14ac:dyDescent="0.25">
      <c r="AC296" s="33"/>
      <c r="AD296" s="33"/>
    </row>
    <row r="297" spans="29:30" x14ac:dyDescent="0.25">
      <c r="AC297" s="33"/>
      <c r="AD297" s="33"/>
    </row>
    <row r="298" spans="29:30" x14ac:dyDescent="0.25">
      <c r="AC298" s="33"/>
      <c r="AD298" s="33"/>
    </row>
    <row r="299" spans="29:30" x14ac:dyDescent="0.25">
      <c r="AC299" s="33"/>
      <c r="AD299" s="33"/>
    </row>
    <row r="300" spans="29:30" x14ac:dyDescent="0.25">
      <c r="AC300" s="33"/>
      <c r="AD300" s="33"/>
    </row>
    <row r="301" spans="29:30" x14ac:dyDescent="0.25">
      <c r="AC301" s="33"/>
      <c r="AD301" s="33"/>
    </row>
    <row r="302" spans="29:30" x14ac:dyDescent="0.25">
      <c r="AC302" s="33"/>
      <c r="AD302" s="33"/>
    </row>
    <row r="303" spans="29:30" x14ac:dyDescent="0.25">
      <c r="AC303" s="33"/>
      <c r="AD303" s="33"/>
    </row>
    <row r="304" spans="29:30" x14ac:dyDescent="0.25">
      <c r="AC304" s="33"/>
      <c r="AD304" s="33"/>
    </row>
    <row r="305" spans="29:30" x14ac:dyDescent="0.25">
      <c r="AC305" s="33"/>
      <c r="AD305" s="33"/>
    </row>
    <row r="306" spans="29:30" x14ac:dyDescent="0.25">
      <c r="AC306" s="33"/>
      <c r="AD306" s="33"/>
    </row>
    <row r="307" spans="29:30" x14ac:dyDescent="0.25">
      <c r="AC307" s="33"/>
      <c r="AD307" s="33"/>
    </row>
    <row r="308" spans="29:30" x14ac:dyDescent="0.25">
      <c r="AC308" s="33"/>
      <c r="AD308" s="33"/>
    </row>
    <row r="309" spans="29:30" x14ac:dyDescent="0.25">
      <c r="AC309" s="33"/>
      <c r="AD309" s="33"/>
    </row>
    <row r="310" spans="29:30" x14ac:dyDescent="0.25">
      <c r="AC310" s="33"/>
      <c r="AD310" s="33"/>
    </row>
    <row r="311" spans="29:30" x14ac:dyDescent="0.25">
      <c r="AC311" s="33"/>
      <c r="AD311" s="33"/>
    </row>
    <row r="312" spans="29:30" x14ac:dyDescent="0.25">
      <c r="AC312" s="33"/>
      <c r="AD312" s="33"/>
    </row>
    <row r="313" spans="29:30" x14ac:dyDescent="0.25">
      <c r="AC313" s="33"/>
      <c r="AD313" s="33"/>
    </row>
    <row r="314" spans="29:30" x14ac:dyDescent="0.25">
      <c r="AC314" s="33"/>
      <c r="AD314" s="33"/>
    </row>
    <row r="315" spans="29:30" x14ac:dyDescent="0.25">
      <c r="AC315" s="33"/>
      <c r="AD315" s="33"/>
    </row>
    <row r="316" spans="29:30" x14ac:dyDescent="0.25">
      <c r="AC316" s="33"/>
      <c r="AD316" s="33"/>
    </row>
    <row r="317" spans="29:30" x14ac:dyDescent="0.25">
      <c r="AC317" s="33"/>
      <c r="AD317" s="33"/>
    </row>
    <row r="318" spans="29:30" x14ac:dyDescent="0.25">
      <c r="AC318" s="33"/>
      <c r="AD318" s="33"/>
    </row>
    <row r="319" spans="29:30" x14ac:dyDescent="0.25">
      <c r="AC319" s="33"/>
      <c r="AD319" s="33"/>
    </row>
    <row r="320" spans="29:30" x14ac:dyDescent="0.25">
      <c r="AC320" s="33"/>
      <c r="AD320" s="33"/>
    </row>
    <row r="321" spans="29:30" x14ac:dyDescent="0.25">
      <c r="AC321" s="33"/>
      <c r="AD321" s="33"/>
    </row>
    <row r="322" spans="29:30" x14ac:dyDescent="0.25">
      <c r="AC322" s="33"/>
      <c r="AD322" s="33"/>
    </row>
    <row r="323" spans="29:30" x14ac:dyDescent="0.25">
      <c r="AC323" s="33"/>
      <c r="AD323" s="33"/>
    </row>
    <row r="324" spans="29:30" x14ac:dyDescent="0.25">
      <c r="AC324" s="33"/>
      <c r="AD324" s="33"/>
    </row>
    <row r="325" spans="29:30" x14ac:dyDescent="0.25">
      <c r="AC325" s="33"/>
      <c r="AD325" s="33"/>
    </row>
    <row r="326" spans="29:30" x14ac:dyDescent="0.25">
      <c r="AC326" s="33"/>
      <c r="AD326" s="33"/>
    </row>
    <row r="327" spans="29:30" x14ac:dyDescent="0.25">
      <c r="AC327" s="33"/>
      <c r="AD327" s="33"/>
    </row>
    <row r="328" spans="29:30" x14ac:dyDescent="0.25">
      <c r="AC328" s="33"/>
      <c r="AD328" s="33"/>
    </row>
    <row r="329" spans="29:30" x14ac:dyDescent="0.25">
      <c r="AC329" s="33"/>
      <c r="AD329" s="33"/>
    </row>
    <row r="330" spans="29:30" x14ac:dyDescent="0.25">
      <c r="AC330" s="33"/>
      <c r="AD330" s="33"/>
    </row>
    <row r="331" spans="29:30" x14ac:dyDescent="0.25">
      <c r="AC331" s="33"/>
      <c r="AD331" s="33"/>
    </row>
    <row r="332" spans="29:30" x14ac:dyDescent="0.25">
      <c r="AC332" s="33"/>
      <c r="AD332" s="33"/>
    </row>
    <row r="333" spans="29:30" x14ac:dyDescent="0.25">
      <c r="AC333" s="33"/>
      <c r="AD333" s="33"/>
    </row>
    <row r="334" spans="29:30" x14ac:dyDescent="0.25">
      <c r="AC334" s="33"/>
      <c r="AD334" s="33"/>
    </row>
    <row r="335" spans="29:30" x14ac:dyDescent="0.25">
      <c r="AC335" s="33"/>
      <c r="AD335" s="33"/>
    </row>
    <row r="336" spans="29:30" x14ac:dyDescent="0.25">
      <c r="AC336" s="33"/>
      <c r="AD336" s="33"/>
    </row>
    <row r="337" spans="29:30" x14ac:dyDescent="0.25">
      <c r="AC337" s="33"/>
      <c r="AD337" s="33"/>
    </row>
    <row r="338" spans="29:30" x14ac:dyDescent="0.25">
      <c r="AC338" s="33"/>
      <c r="AD338" s="33"/>
    </row>
    <row r="339" spans="29:30" x14ac:dyDescent="0.25">
      <c r="AC339" s="33"/>
      <c r="AD339" s="33"/>
    </row>
    <row r="340" spans="29:30" x14ac:dyDescent="0.25">
      <c r="AC340" s="33"/>
      <c r="AD340" s="33"/>
    </row>
    <row r="341" spans="29:30" x14ac:dyDescent="0.25">
      <c r="AC341" s="33"/>
      <c r="AD341" s="33"/>
    </row>
    <row r="342" spans="29:30" x14ac:dyDescent="0.25">
      <c r="AC342" s="33"/>
      <c r="AD342" s="33"/>
    </row>
    <row r="343" spans="29:30" x14ac:dyDescent="0.25">
      <c r="AC343" s="33"/>
      <c r="AD343" s="33"/>
    </row>
    <row r="344" spans="29:30" x14ac:dyDescent="0.25">
      <c r="AC344" s="33"/>
      <c r="AD344" s="33"/>
    </row>
    <row r="345" spans="29:30" x14ac:dyDescent="0.25">
      <c r="AC345" s="33"/>
      <c r="AD345" s="33"/>
    </row>
    <row r="346" spans="29:30" x14ac:dyDescent="0.25">
      <c r="AC346" s="33"/>
      <c r="AD346" s="33"/>
    </row>
    <row r="347" spans="29:30" x14ac:dyDescent="0.25">
      <c r="AC347" s="33"/>
      <c r="AD347" s="33"/>
    </row>
    <row r="348" spans="29:30" x14ac:dyDescent="0.25">
      <c r="AC348" s="33"/>
      <c r="AD348" s="33"/>
    </row>
    <row r="349" spans="29:30" x14ac:dyDescent="0.25">
      <c r="AC349" s="33"/>
      <c r="AD349" s="33"/>
    </row>
    <row r="350" spans="29:30" x14ac:dyDescent="0.25">
      <c r="AC350" s="33"/>
      <c r="AD350" s="33"/>
    </row>
    <row r="351" spans="29:30" x14ac:dyDescent="0.25">
      <c r="AC351" s="33"/>
      <c r="AD351" s="33"/>
    </row>
    <row r="352" spans="29:30" x14ac:dyDescent="0.25">
      <c r="AC352" s="33"/>
      <c r="AD352" s="33"/>
    </row>
    <row r="353" spans="29:30" x14ac:dyDescent="0.25">
      <c r="AC353" s="33"/>
      <c r="AD353" s="33"/>
    </row>
    <row r="354" spans="29:30" x14ac:dyDescent="0.25">
      <c r="AC354" s="33"/>
      <c r="AD354" s="33"/>
    </row>
    <row r="355" spans="29:30" x14ac:dyDescent="0.25">
      <c r="AC355" s="33"/>
      <c r="AD355" s="33"/>
    </row>
    <row r="356" spans="29:30" x14ac:dyDescent="0.25">
      <c r="AC356" s="33"/>
      <c r="AD356" s="33"/>
    </row>
    <row r="357" spans="29:30" x14ac:dyDescent="0.25">
      <c r="AC357" s="33"/>
      <c r="AD357" s="33"/>
    </row>
    <row r="358" spans="29:30" x14ac:dyDescent="0.25">
      <c r="AC358" s="33"/>
      <c r="AD358" s="33"/>
    </row>
    <row r="359" spans="29:30" x14ac:dyDescent="0.25">
      <c r="AC359" s="33"/>
      <c r="AD359" s="33"/>
    </row>
    <row r="360" spans="29:30" x14ac:dyDescent="0.25">
      <c r="AC360" s="33"/>
      <c r="AD360" s="33"/>
    </row>
    <row r="361" spans="29:30" x14ac:dyDescent="0.25">
      <c r="AC361" s="33"/>
      <c r="AD361" s="33"/>
    </row>
    <row r="362" spans="29:30" x14ac:dyDescent="0.25">
      <c r="AC362" s="33"/>
      <c r="AD362" s="33"/>
    </row>
    <row r="363" spans="29:30" x14ac:dyDescent="0.25">
      <c r="AC363" s="33"/>
      <c r="AD363" s="33"/>
    </row>
    <row r="364" spans="29:30" x14ac:dyDescent="0.25">
      <c r="AC364" s="33"/>
      <c r="AD364" s="33"/>
    </row>
    <row r="365" spans="29:30" x14ac:dyDescent="0.25">
      <c r="AC365" s="33"/>
      <c r="AD365" s="33"/>
    </row>
    <row r="366" spans="29:30" x14ac:dyDescent="0.25">
      <c r="AC366" s="33"/>
      <c r="AD366" s="33"/>
    </row>
    <row r="367" spans="29:30" x14ac:dyDescent="0.25">
      <c r="AC367" s="33"/>
      <c r="AD367" s="33"/>
    </row>
    <row r="368" spans="29:30" x14ac:dyDescent="0.25">
      <c r="AC368" s="33"/>
      <c r="AD368" s="33"/>
    </row>
    <row r="369" spans="29:30" x14ac:dyDescent="0.25">
      <c r="AC369" s="33"/>
      <c r="AD369" s="33"/>
    </row>
    <row r="370" spans="29:30" x14ac:dyDescent="0.25">
      <c r="AC370" s="33"/>
      <c r="AD370" s="33"/>
    </row>
    <row r="371" spans="29:30" x14ac:dyDescent="0.25">
      <c r="AC371" s="33"/>
      <c r="AD371" s="33"/>
    </row>
    <row r="372" spans="29:30" x14ac:dyDescent="0.25">
      <c r="AC372" s="33"/>
      <c r="AD372" s="33"/>
    </row>
    <row r="373" spans="29:30" x14ac:dyDescent="0.25">
      <c r="AC373" s="33"/>
      <c r="AD373" s="33"/>
    </row>
    <row r="374" spans="29:30" x14ac:dyDescent="0.25">
      <c r="AC374" s="33"/>
      <c r="AD374" s="33"/>
    </row>
    <row r="375" spans="29:30" x14ac:dyDescent="0.25">
      <c r="AC375" s="33"/>
      <c r="AD375" s="33"/>
    </row>
    <row r="376" spans="29:30" x14ac:dyDescent="0.25">
      <c r="AC376" s="33"/>
      <c r="AD376" s="33"/>
    </row>
    <row r="377" spans="29:30" x14ac:dyDescent="0.25">
      <c r="AC377" s="33"/>
      <c r="AD377" s="33"/>
    </row>
    <row r="378" spans="29:30" x14ac:dyDescent="0.25">
      <c r="AC378" s="33"/>
      <c r="AD378" s="33"/>
    </row>
    <row r="379" spans="29:30" x14ac:dyDescent="0.25">
      <c r="AC379" s="33"/>
      <c r="AD379" s="33"/>
    </row>
    <row r="380" spans="29:30" x14ac:dyDescent="0.25">
      <c r="AC380" s="33"/>
      <c r="AD380" s="33"/>
    </row>
    <row r="381" spans="29:30" x14ac:dyDescent="0.25">
      <c r="AC381" s="33"/>
      <c r="AD381" s="33"/>
    </row>
    <row r="382" spans="29:30" x14ac:dyDescent="0.25">
      <c r="AC382" s="33"/>
      <c r="AD382" s="33"/>
    </row>
    <row r="383" spans="29:30" x14ac:dyDescent="0.25">
      <c r="AC383" s="33"/>
      <c r="AD383" s="33"/>
    </row>
    <row r="384" spans="29:30" x14ac:dyDescent="0.25">
      <c r="AC384" s="33"/>
      <c r="AD384" s="33"/>
    </row>
    <row r="385" spans="29:30" x14ac:dyDescent="0.25">
      <c r="AC385" s="33"/>
      <c r="AD385" s="33"/>
    </row>
    <row r="386" spans="29:30" x14ac:dyDescent="0.25">
      <c r="AC386" s="33"/>
      <c r="AD386" s="33"/>
    </row>
    <row r="387" spans="29:30" x14ac:dyDescent="0.25">
      <c r="AC387" s="33"/>
      <c r="AD387" s="33"/>
    </row>
    <row r="388" spans="29:30" x14ac:dyDescent="0.25">
      <c r="AC388" s="33"/>
      <c r="AD388" s="33"/>
    </row>
    <row r="389" spans="29:30" x14ac:dyDescent="0.25">
      <c r="AC389" s="33"/>
      <c r="AD389" s="33"/>
    </row>
    <row r="390" spans="29:30" x14ac:dyDescent="0.25">
      <c r="AC390" s="33"/>
      <c r="AD390" s="33"/>
    </row>
    <row r="391" spans="29:30" x14ac:dyDescent="0.25">
      <c r="AC391" s="33"/>
      <c r="AD391" s="33"/>
    </row>
    <row r="392" spans="29:30" x14ac:dyDescent="0.25">
      <c r="AC392" s="33"/>
      <c r="AD392" s="33"/>
    </row>
    <row r="393" spans="29:30" x14ac:dyDescent="0.25">
      <c r="AC393" s="33"/>
      <c r="AD393" s="33"/>
    </row>
    <row r="394" spans="29:30" x14ac:dyDescent="0.25">
      <c r="AC394" s="33"/>
      <c r="AD394" s="33"/>
    </row>
    <row r="395" spans="29:30" x14ac:dyDescent="0.25">
      <c r="AC395" s="33"/>
      <c r="AD395" s="33"/>
    </row>
    <row r="396" spans="29:30" x14ac:dyDescent="0.25">
      <c r="AC396" s="33"/>
      <c r="AD396" s="33"/>
    </row>
    <row r="397" spans="29:30" x14ac:dyDescent="0.25">
      <c r="AC397" s="33"/>
      <c r="AD397" s="33"/>
    </row>
    <row r="398" spans="29:30" x14ac:dyDescent="0.25">
      <c r="AC398" s="33"/>
      <c r="AD398" s="33"/>
    </row>
    <row r="399" spans="29:30" x14ac:dyDescent="0.25">
      <c r="AC399" s="33"/>
      <c r="AD399" s="33"/>
    </row>
    <row r="400" spans="29:30" x14ac:dyDescent="0.25">
      <c r="AC400" s="33"/>
      <c r="AD400" s="33"/>
    </row>
    <row r="401" spans="29:30" x14ac:dyDescent="0.25">
      <c r="AC401" s="33"/>
      <c r="AD401" s="33"/>
    </row>
    <row r="402" spans="29:30" x14ac:dyDescent="0.25">
      <c r="AC402" s="33"/>
      <c r="AD402" s="33"/>
    </row>
    <row r="403" spans="29:30" x14ac:dyDescent="0.25">
      <c r="AC403" s="33"/>
      <c r="AD403" s="33"/>
    </row>
    <row r="404" spans="29:30" x14ac:dyDescent="0.25">
      <c r="AC404" s="33"/>
      <c r="AD404" s="33"/>
    </row>
    <row r="405" spans="29:30" x14ac:dyDescent="0.25">
      <c r="AC405" s="33"/>
      <c r="AD405" s="33"/>
    </row>
    <row r="406" spans="29:30" x14ac:dyDescent="0.25">
      <c r="AC406" s="33"/>
      <c r="AD406" s="33"/>
    </row>
    <row r="407" spans="29:30" x14ac:dyDescent="0.25">
      <c r="AC407" s="33"/>
      <c r="AD407" s="33"/>
    </row>
    <row r="408" spans="29:30" x14ac:dyDescent="0.25">
      <c r="AC408" s="33"/>
      <c r="AD408" s="33"/>
    </row>
    <row r="409" spans="29:30" x14ac:dyDescent="0.25">
      <c r="AC409" s="33"/>
      <c r="AD409" s="33"/>
    </row>
    <row r="410" spans="29:30" x14ac:dyDescent="0.25">
      <c r="AC410" s="33"/>
      <c r="AD410" s="33"/>
    </row>
    <row r="411" spans="29:30" x14ac:dyDescent="0.25">
      <c r="AC411" s="33"/>
      <c r="AD411" s="33"/>
    </row>
    <row r="412" spans="29:30" x14ac:dyDescent="0.25">
      <c r="AC412" s="33"/>
      <c r="AD412" s="33"/>
    </row>
    <row r="413" spans="29:30" x14ac:dyDescent="0.25">
      <c r="AC413" s="33"/>
      <c r="AD413" s="33"/>
    </row>
    <row r="414" spans="29:30" x14ac:dyDescent="0.25">
      <c r="AC414" s="33"/>
      <c r="AD414" s="33"/>
    </row>
    <row r="415" spans="29:30" x14ac:dyDescent="0.25">
      <c r="AC415" s="33"/>
      <c r="AD415" s="33"/>
    </row>
    <row r="416" spans="29:30" x14ac:dyDescent="0.25">
      <c r="AC416" s="33"/>
      <c r="AD416" s="33"/>
    </row>
    <row r="417" spans="29:30" x14ac:dyDescent="0.25">
      <c r="AC417" s="33"/>
      <c r="AD417" s="33"/>
    </row>
    <row r="418" spans="29:30" x14ac:dyDescent="0.25">
      <c r="AC418" s="33"/>
      <c r="AD418" s="33"/>
    </row>
    <row r="419" spans="29:30" x14ac:dyDescent="0.25">
      <c r="AC419" s="33"/>
      <c r="AD419" s="33"/>
    </row>
    <row r="420" spans="29:30" x14ac:dyDescent="0.25">
      <c r="AC420" s="33"/>
      <c r="AD420" s="33"/>
    </row>
    <row r="421" spans="29:30" x14ac:dyDescent="0.25">
      <c r="AC421" s="33"/>
      <c r="AD421" s="33"/>
    </row>
    <row r="422" spans="29:30" x14ac:dyDescent="0.25">
      <c r="AC422" s="33"/>
      <c r="AD422" s="33"/>
    </row>
    <row r="423" spans="29:30" x14ac:dyDescent="0.25">
      <c r="AC423" s="33"/>
      <c r="AD423" s="33"/>
    </row>
    <row r="424" spans="29:30" x14ac:dyDescent="0.25">
      <c r="AC424" s="33"/>
      <c r="AD424" s="33"/>
    </row>
    <row r="425" spans="29:30" x14ac:dyDescent="0.25">
      <c r="AC425" s="33"/>
      <c r="AD425" s="33"/>
    </row>
    <row r="426" spans="29:30" x14ac:dyDescent="0.25">
      <c r="AC426" s="33"/>
      <c r="AD426" s="33"/>
    </row>
    <row r="427" spans="29:30" x14ac:dyDescent="0.25">
      <c r="AC427" s="33"/>
      <c r="AD427" s="33"/>
    </row>
    <row r="428" spans="29:30" x14ac:dyDescent="0.25">
      <c r="AC428" s="33"/>
      <c r="AD428" s="33"/>
    </row>
    <row r="429" spans="29:30" x14ac:dyDescent="0.25">
      <c r="AC429" s="33"/>
      <c r="AD429" s="33"/>
    </row>
    <row r="430" spans="29:30" x14ac:dyDescent="0.25">
      <c r="AC430" s="33"/>
      <c r="AD430" s="33"/>
    </row>
    <row r="431" spans="29:30" x14ac:dyDescent="0.25">
      <c r="AC431" s="33"/>
      <c r="AD431" s="33"/>
    </row>
    <row r="432" spans="29:30" x14ac:dyDescent="0.25">
      <c r="AC432" s="33"/>
      <c r="AD432" s="33"/>
    </row>
    <row r="433" spans="29:30" x14ac:dyDescent="0.25">
      <c r="AC433" s="33"/>
      <c r="AD433" s="33"/>
    </row>
    <row r="434" spans="29:30" x14ac:dyDescent="0.25">
      <c r="AC434" s="33"/>
      <c r="AD434" s="33"/>
    </row>
    <row r="435" spans="29:30" x14ac:dyDescent="0.25">
      <c r="AC435" s="33"/>
      <c r="AD435" s="33"/>
    </row>
    <row r="436" spans="29:30" x14ac:dyDescent="0.25">
      <c r="AC436" s="33"/>
      <c r="AD436" s="33"/>
    </row>
    <row r="437" spans="29:30" x14ac:dyDescent="0.25">
      <c r="AC437" s="33"/>
      <c r="AD437" s="33"/>
    </row>
    <row r="438" spans="29:30" x14ac:dyDescent="0.25">
      <c r="AC438" s="33"/>
      <c r="AD438" s="33"/>
    </row>
    <row r="439" spans="29:30" x14ac:dyDescent="0.25">
      <c r="AC439" s="33"/>
      <c r="AD439" s="33"/>
    </row>
    <row r="440" spans="29:30" x14ac:dyDescent="0.25">
      <c r="AC440" s="33"/>
      <c r="AD440" s="33"/>
    </row>
    <row r="441" spans="29:30" x14ac:dyDescent="0.25">
      <c r="AC441" s="33"/>
      <c r="AD441" s="33"/>
    </row>
    <row r="442" spans="29:30" x14ac:dyDescent="0.25">
      <c r="AC442" s="33"/>
      <c r="AD442" s="33"/>
    </row>
    <row r="443" spans="29:30" x14ac:dyDescent="0.25">
      <c r="AC443" s="33"/>
      <c r="AD443" s="33"/>
    </row>
    <row r="444" spans="29:30" x14ac:dyDescent="0.25">
      <c r="AC444" s="33"/>
      <c r="AD444" s="33"/>
    </row>
    <row r="445" spans="29:30" x14ac:dyDescent="0.25">
      <c r="AC445" s="33"/>
      <c r="AD445" s="33"/>
    </row>
    <row r="446" spans="29:30" x14ac:dyDescent="0.25">
      <c r="AC446" s="33"/>
      <c r="AD446" s="33"/>
    </row>
    <row r="447" spans="29:30" x14ac:dyDescent="0.25">
      <c r="AC447" s="33"/>
      <c r="AD447" s="33"/>
    </row>
    <row r="448" spans="29:30" x14ac:dyDescent="0.25">
      <c r="AC448" s="33"/>
      <c r="AD448" s="33"/>
    </row>
    <row r="449" spans="29:30" x14ac:dyDescent="0.25">
      <c r="AC449" s="33"/>
      <c r="AD449" s="33"/>
    </row>
    <row r="450" spans="29:30" x14ac:dyDescent="0.25">
      <c r="AC450" s="33"/>
      <c r="AD450" s="33"/>
    </row>
    <row r="451" spans="29:30" x14ac:dyDescent="0.25">
      <c r="AC451" s="33"/>
      <c r="AD451" s="33"/>
    </row>
    <row r="452" spans="29:30" x14ac:dyDescent="0.25">
      <c r="AC452" s="33"/>
      <c r="AD452" s="33"/>
    </row>
    <row r="453" spans="29:30" x14ac:dyDescent="0.25">
      <c r="AC453" s="33"/>
      <c r="AD453" s="33"/>
    </row>
    <row r="454" spans="29:30" x14ac:dyDescent="0.25">
      <c r="AC454" s="33"/>
      <c r="AD454" s="33"/>
    </row>
    <row r="455" spans="29:30" x14ac:dyDescent="0.25">
      <c r="AC455" s="33"/>
      <c r="AD455" s="33"/>
    </row>
    <row r="456" spans="29:30" x14ac:dyDescent="0.25">
      <c r="AC456" s="33"/>
      <c r="AD456" s="33"/>
    </row>
    <row r="457" spans="29:30" x14ac:dyDescent="0.25">
      <c r="AC457" s="33"/>
      <c r="AD457" s="33"/>
    </row>
    <row r="458" spans="29:30" x14ac:dyDescent="0.25">
      <c r="AC458" s="33"/>
      <c r="AD458" s="33"/>
    </row>
    <row r="459" spans="29:30" x14ac:dyDescent="0.25">
      <c r="AC459" s="33"/>
      <c r="AD459" s="33"/>
    </row>
    <row r="460" spans="29:30" x14ac:dyDescent="0.25">
      <c r="AC460" s="33"/>
      <c r="AD460" s="33"/>
    </row>
    <row r="461" spans="29:30" x14ac:dyDescent="0.25">
      <c r="AC461" s="33"/>
      <c r="AD461" s="33"/>
    </row>
    <row r="462" spans="29:30" x14ac:dyDescent="0.25">
      <c r="AC462" s="33"/>
      <c r="AD462" s="33"/>
    </row>
    <row r="463" spans="29:30" x14ac:dyDescent="0.25">
      <c r="AC463" s="33"/>
      <c r="AD463" s="33"/>
    </row>
    <row r="464" spans="29:30" x14ac:dyDescent="0.25">
      <c r="AC464" s="33"/>
      <c r="AD464" s="33"/>
    </row>
    <row r="465" spans="29:30" x14ac:dyDescent="0.25">
      <c r="AC465" s="33"/>
      <c r="AD465" s="33"/>
    </row>
    <row r="466" spans="29:30" x14ac:dyDescent="0.25">
      <c r="AC466" s="33"/>
      <c r="AD466" s="33"/>
    </row>
    <row r="467" spans="29:30" x14ac:dyDescent="0.25">
      <c r="AC467" s="33"/>
      <c r="AD467" s="33"/>
    </row>
    <row r="468" spans="29:30" x14ac:dyDescent="0.25">
      <c r="AC468" s="33"/>
      <c r="AD468" s="33"/>
    </row>
    <row r="469" spans="29:30" x14ac:dyDescent="0.25">
      <c r="AC469" s="33"/>
      <c r="AD469" s="33"/>
    </row>
    <row r="470" spans="29:30" x14ac:dyDescent="0.25">
      <c r="AC470" s="33"/>
      <c r="AD470" s="33"/>
    </row>
    <row r="471" spans="29:30" x14ac:dyDescent="0.25">
      <c r="AC471" s="33"/>
      <c r="AD471" s="33"/>
    </row>
    <row r="472" spans="29:30" x14ac:dyDescent="0.25">
      <c r="AC472" s="33"/>
      <c r="AD472" s="33"/>
    </row>
    <row r="473" spans="29:30" x14ac:dyDescent="0.25">
      <c r="AC473" s="33"/>
      <c r="AD473" s="33"/>
    </row>
    <row r="474" spans="29:30" x14ac:dyDescent="0.25">
      <c r="AC474" s="33"/>
      <c r="AD474" s="33"/>
    </row>
    <row r="475" spans="29:30" x14ac:dyDescent="0.25">
      <c r="AC475" s="33"/>
      <c r="AD475" s="33"/>
    </row>
    <row r="476" spans="29:30" x14ac:dyDescent="0.25">
      <c r="AC476" s="33"/>
      <c r="AD476" s="33"/>
    </row>
    <row r="477" spans="29:30" x14ac:dyDescent="0.25">
      <c r="AC477" s="33"/>
      <c r="AD477" s="33"/>
    </row>
    <row r="478" spans="29:30" x14ac:dyDescent="0.25">
      <c r="AC478" s="33"/>
      <c r="AD478" s="33"/>
    </row>
    <row r="479" spans="29:30" x14ac:dyDescent="0.25">
      <c r="AC479" s="33"/>
      <c r="AD479" s="33"/>
    </row>
    <row r="480" spans="29:30" x14ac:dyDescent="0.25">
      <c r="AC480" s="33"/>
      <c r="AD480" s="33"/>
    </row>
    <row r="481" spans="29:30" x14ac:dyDescent="0.25">
      <c r="AC481" s="33"/>
      <c r="AD481" s="33"/>
    </row>
    <row r="482" spans="29:30" x14ac:dyDescent="0.25">
      <c r="AC482" s="33"/>
      <c r="AD482" s="33"/>
    </row>
    <row r="483" spans="29:30" x14ac:dyDescent="0.25">
      <c r="AC483" s="33"/>
      <c r="AD483" s="33"/>
    </row>
    <row r="484" spans="29:30" x14ac:dyDescent="0.25">
      <c r="AC484" s="33"/>
      <c r="AD484" s="33"/>
    </row>
    <row r="485" spans="29:30" x14ac:dyDescent="0.25">
      <c r="AC485" s="33"/>
      <c r="AD485" s="33"/>
    </row>
    <row r="486" spans="29:30" x14ac:dyDescent="0.25">
      <c r="AC486" s="33"/>
      <c r="AD486" s="33"/>
    </row>
    <row r="487" spans="29:30" x14ac:dyDescent="0.25">
      <c r="AC487" s="33"/>
      <c r="AD487" s="33"/>
    </row>
    <row r="488" spans="29:30" x14ac:dyDescent="0.25">
      <c r="AC488" s="33"/>
      <c r="AD488" s="33"/>
    </row>
    <row r="489" spans="29:30" x14ac:dyDescent="0.25">
      <c r="AC489" s="33"/>
      <c r="AD489" s="33"/>
    </row>
    <row r="490" spans="29:30" x14ac:dyDescent="0.25">
      <c r="AC490" s="33"/>
      <c r="AD490" s="33"/>
    </row>
    <row r="491" spans="29:30" x14ac:dyDescent="0.25">
      <c r="AC491" s="33"/>
      <c r="AD491" s="33"/>
    </row>
    <row r="492" spans="29:30" x14ac:dyDescent="0.25">
      <c r="AC492" s="33"/>
      <c r="AD492" s="33"/>
    </row>
    <row r="493" spans="29:30" x14ac:dyDescent="0.25">
      <c r="AC493" s="33"/>
      <c r="AD493" s="33"/>
    </row>
    <row r="494" spans="29:30" x14ac:dyDescent="0.25">
      <c r="AC494" s="33"/>
      <c r="AD494" s="33"/>
    </row>
    <row r="495" spans="29:30" x14ac:dyDescent="0.25">
      <c r="AC495" s="33"/>
      <c r="AD495" s="33"/>
    </row>
    <row r="496" spans="29:30" x14ac:dyDescent="0.25">
      <c r="AC496" s="33"/>
      <c r="AD496" s="33"/>
    </row>
    <row r="497" spans="29:30" x14ac:dyDescent="0.25">
      <c r="AC497" s="33"/>
      <c r="AD497" s="33"/>
    </row>
    <row r="498" spans="29:30" x14ac:dyDescent="0.25">
      <c r="AC498" s="33"/>
      <c r="AD498" s="33"/>
    </row>
    <row r="499" spans="29:30" x14ac:dyDescent="0.25">
      <c r="AC499" s="33"/>
      <c r="AD499" s="33"/>
    </row>
    <row r="500" spans="29:30" x14ac:dyDescent="0.25">
      <c r="AC500" s="33"/>
      <c r="AD500" s="33"/>
    </row>
    <row r="501" spans="29:30" x14ac:dyDescent="0.25">
      <c r="AC501" s="33"/>
      <c r="AD501" s="33"/>
    </row>
    <row r="502" spans="29:30" x14ac:dyDescent="0.25">
      <c r="AC502" s="33"/>
      <c r="AD502" s="33"/>
    </row>
    <row r="503" spans="29:30" x14ac:dyDescent="0.25">
      <c r="AC503" s="33"/>
      <c r="AD503" s="33"/>
    </row>
    <row r="504" spans="29:30" x14ac:dyDescent="0.25">
      <c r="AC504" s="33"/>
      <c r="AD504" s="33"/>
    </row>
    <row r="505" spans="29:30" x14ac:dyDescent="0.25">
      <c r="AC505" s="33"/>
      <c r="AD505" s="33"/>
    </row>
    <row r="506" spans="29:30" x14ac:dyDescent="0.25">
      <c r="AC506" s="33"/>
      <c r="AD506" s="33"/>
    </row>
    <row r="507" spans="29:30" x14ac:dyDescent="0.25">
      <c r="AC507" s="33"/>
      <c r="AD507" s="33"/>
    </row>
    <row r="508" spans="29:30" x14ac:dyDescent="0.25">
      <c r="AC508" s="33"/>
      <c r="AD508" s="33"/>
    </row>
    <row r="509" spans="29:30" x14ac:dyDescent="0.25">
      <c r="AC509" s="33"/>
      <c r="AD509" s="33"/>
    </row>
    <row r="510" spans="29:30" x14ac:dyDescent="0.25">
      <c r="AC510" s="33"/>
      <c r="AD510" s="33"/>
    </row>
    <row r="511" spans="29:30" x14ac:dyDescent="0.25">
      <c r="AC511" s="33"/>
      <c r="AD511" s="33"/>
    </row>
    <row r="512" spans="29:30" x14ac:dyDescent="0.25">
      <c r="AC512" s="33"/>
      <c r="AD512" s="33"/>
    </row>
    <row r="513" spans="29:30" x14ac:dyDescent="0.25">
      <c r="AC513" s="33"/>
      <c r="AD513" s="33"/>
    </row>
    <row r="514" spans="29:30" x14ac:dyDescent="0.25">
      <c r="AC514" s="33"/>
      <c r="AD514" s="33"/>
    </row>
    <row r="515" spans="29:30" x14ac:dyDescent="0.25">
      <c r="AC515" s="33"/>
      <c r="AD515" s="33"/>
    </row>
    <row r="516" spans="29:30" x14ac:dyDescent="0.25">
      <c r="AC516" s="33"/>
      <c r="AD516" s="33"/>
    </row>
    <row r="517" spans="29:30" x14ac:dyDescent="0.25">
      <c r="AC517" s="33"/>
      <c r="AD517" s="33"/>
    </row>
    <row r="518" spans="29:30" x14ac:dyDescent="0.25">
      <c r="AC518" s="33"/>
      <c r="AD518" s="33"/>
    </row>
    <row r="519" spans="29:30" x14ac:dyDescent="0.25">
      <c r="AC519" s="33"/>
      <c r="AD519" s="33"/>
    </row>
    <row r="520" spans="29:30" x14ac:dyDescent="0.25">
      <c r="AC520" s="33"/>
      <c r="AD520" s="33"/>
    </row>
    <row r="521" spans="29:30" x14ac:dyDescent="0.25">
      <c r="AC521" s="33"/>
      <c r="AD521" s="33"/>
    </row>
    <row r="522" spans="29:30" x14ac:dyDescent="0.25">
      <c r="AC522" s="33"/>
      <c r="AD522" s="33"/>
    </row>
    <row r="523" spans="29:30" x14ac:dyDescent="0.25">
      <c r="AC523" s="33"/>
      <c r="AD523" s="33"/>
    </row>
    <row r="524" spans="29:30" x14ac:dyDescent="0.25">
      <c r="AC524" s="33"/>
      <c r="AD524" s="33"/>
    </row>
    <row r="525" spans="29:30" x14ac:dyDescent="0.25">
      <c r="AC525" s="33"/>
      <c r="AD525" s="33"/>
    </row>
    <row r="526" spans="29:30" x14ac:dyDescent="0.25">
      <c r="AC526" s="33"/>
      <c r="AD526" s="33"/>
    </row>
    <row r="527" spans="29:30" x14ac:dyDescent="0.25">
      <c r="AC527" s="33"/>
      <c r="AD527" s="33"/>
    </row>
    <row r="528" spans="29:30" x14ac:dyDescent="0.25">
      <c r="AC528" s="33"/>
      <c r="AD528" s="33"/>
    </row>
    <row r="529" spans="29:30" x14ac:dyDescent="0.25">
      <c r="AC529" s="33"/>
      <c r="AD529" s="33"/>
    </row>
    <row r="530" spans="29:30" x14ac:dyDescent="0.25">
      <c r="AC530" s="33"/>
      <c r="AD530" s="33"/>
    </row>
    <row r="531" spans="29:30" x14ac:dyDescent="0.25">
      <c r="AC531" s="33"/>
      <c r="AD531" s="33"/>
    </row>
    <row r="532" spans="29:30" x14ac:dyDescent="0.25">
      <c r="AC532" s="33"/>
      <c r="AD532" s="33"/>
    </row>
    <row r="533" spans="29:30" x14ac:dyDescent="0.25">
      <c r="AC533" s="33"/>
      <c r="AD533" s="33"/>
    </row>
    <row r="534" spans="29:30" x14ac:dyDescent="0.25">
      <c r="AC534" s="33"/>
      <c r="AD534" s="33"/>
    </row>
    <row r="535" spans="29:30" x14ac:dyDescent="0.25">
      <c r="AC535" s="33"/>
      <c r="AD535" s="33"/>
    </row>
    <row r="536" spans="29:30" x14ac:dyDescent="0.25">
      <c r="AC536" s="33"/>
      <c r="AD536" s="33"/>
    </row>
    <row r="537" spans="29:30" x14ac:dyDescent="0.25">
      <c r="AC537" s="33"/>
      <c r="AD537" s="33"/>
    </row>
    <row r="538" spans="29:30" x14ac:dyDescent="0.25">
      <c r="AC538" s="33"/>
      <c r="AD538" s="33"/>
    </row>
    <row r="539" spans="29:30" x14ac:dyDescent="0.25">
      <c r="AC539" s="33"/>
      <c r="AD539" s="33"/>
    </row>
    <row r="540" spans="29:30" x14ac:dyDescent="0.25">
      <c r="AC540" s="33"/>
      <c r="AD540" s="33"/>
    </row>
    <row r="541" spans="29:30" x14ac:dyDescent="0.25">
      <c r="AC541" s="33"/>
      <c r="AD541" s="33"/>
    </row>
    <row r="542" spans="29:30" x14ac:dyDescent="0.25">
      <c r="AC542" s="33"/>
      <c r="AD542" s="33"/>
    </row>
    <row r="543" spans="29:30" x14ac:dyDescent="0.25">
      <c r="AC543" s="33"/>
      <c r="AD543" s="33"/>
    </row>
    <row r="544" spans="29:30" x14ac:dyDescent="0.25">
      <c r="AC544" s="33"/>
      <c r="AD544" s="33"/>
    </row>
    <row r="545" spans="29:30" x14ac:dyDescent="0.25">
      <c r="AC545" s="33"/>
      <c r="AD545" s="33"/>
    </row>
    <row r="546" spans="29:30" x14ac:dyDescent="0.25">
      <c r="AC546" s="33"/>
      <c r="AD546" s="33"/>
    </row>
    <row r="547" spans="29:30" x14ac:dyDescent="0.25">
      <c r="AC547" s="33"/>
      <c r="AD547" s="33"/>
    </row>
    <row r="548" spans="29:30" x14ac:dyDescent="0.25">
      <c r="AC548" s="33"/>
      <c r="AD548" s="33"/>
    </row>
    <row r="549" spans="29:30" x14ac:dyDescent="0.25">
      <c r="AC549" s="33"/>
      <c r="AD549" s="33"/>
    </row>
    <row r="550" spans="29:30" x14ac:dyDescent="0.25">
      <c r="AC550" s="33"/>
      <c r="AD550" s="33"/>
    </row>
    <row r="551" spans="29:30" x14ac:dyDescent="0.25">
      <c r="AC551" s="33"/>
      <c r="AD551" s="33"/>
    </row>
    <row r="552" spans="29:30" x14ac:dyDescent="0.25">
      <c r="AC552" s="33"/>
      <c r="AD552" s="33"/>
    </row>
    <row r="553" spans="29:30" x14ac:dyDescent="0.25">
      <c r="AC553" s="33"/>
      <c r="AD553" s="33"/>
    </row>
    <row r="554" spans="29:30" x14ac:dyDescent="0.25">
      <c r="AC554" s="33"/>
      <c r="AD554" s="33"/>
    </row>
    <row r="555" spans="29:30" x14ac:dyDescent="0.25">
      <c r="AC555" s="33"/>
      <c r="AD555" s="33"/>
    </row>
    <row r="556" spans="29:30" x14ac:dyDescent="0.25">
      <c r="AC556" s="33"/>
      <c r="AD556" s="33"/>
    </row>
    <row r="557" spans="29:30" x14ac:dyDescent="0.25">
      <c r="AC557" s="33"/>
      <c r="AD557" s="33"/>
    </row>
    <row r="558" spans="29:30" x14ac:dyDescent="0.25">
      <c r="AC558" s="33"/>
      <c r="AD558" s="33"/>
    </row>
    <row r="559" spans="29:30" x14ac:dyDescent="0.25">
      <c r="AC559" s="33"/>
      <c r="AD559" s="33"/>
    </row>
    <row r="560" spans="29:30" x14ac:dyDescent="0.25">
      <c r="AC560" s="33"/>
      <c r="AD560" s="33"/>
    </row>
    <row r="561" spans="29:30" x14ac:dyDescent="0.25">
      <c r="AC561" s="33"/>
      <c r="AD561" s="33"/>
    </row>
    <row r="562" spans="29:30" x14ac:dyDescent="0.25">
      <c r="AC562" s="33"/>
      <c r="AD562" s="33"/>
    </row>
    <row r="563" spans="29:30" x14ac:dyDescent="0.25">
      <c r="AC563" s="33"/>
      <c r="AD563" s="33"/>
    </row>
    <row r="564" spans="29:30" x14ac:dyDescent="0.25">
      <c r="AC564" s="33"/>
      <c r="AD564" s="33"/>
    </row>
    <row r="565" spans="29:30" x14ac:dyDescent="0.25">
      <c r="AC565" s="33"/>
      <c r="AD565" s="33"/>
    </row>
    <row r="566" spans="29:30" x14ac:dyDescent="0.25">
      <c r="AC566" s="33"/>
      <c r="AD566" s="33"/>
    </row>
    <row r="567" spans="29:30" x14ac:dyDescent="0.25">
      <c r="AC567" s="33"/>
      <c r="AD567" s="33"/>
    </row>
    <row r="568" spans="29:30" x14ac:dyDescent="0.25">
      <c r="AC568" s="33"/>
      <c r="AD568" s="33"/>
    </row>
    <row r="569" spans="29:30" x14ac:dyDescent="0.25">
      <c r="AC569" s="33"/>
      <c r="AD569" s="33"/>
    </row>
    <row r="570" spans="29:30" x14ac:dyDescent="0.25">
      <c r="AC570" s="33"/>
      <c r="AD570" s="33"/>
    </row>
    <row r="571" spans="29:30" x14ac:dyDescent="0.25">
      <c r="AC571" s="33"/>
      <c r="AD571" s="33"/>
    </row>
    <row r="572" spans="29:30" x14ac:dyDescent="0.25">
      <c r="AC572" s="33"/>
      <c r="AD572" s="33"/>
    </row>
    <row r="573" spans="29:30" x14ac:dyDescent="0.25">
      <c r="AC573" s="33"/>
      <c r="AD573" s="33"/>
    </row>
    <row r="574" spans="29:30" x14ac:dyDescent="0.25">
      <c r="AC574" s="33"/>
      <c r="AD574" s="33"/>
    </row>
    <row r="575" spans="29:30" x14ac:dyDescent="0.25">
      <c r="AC575" s="33"/>
      <c r="AD575" s="33"/>
    </row>
    <row r="576" spans="29:30" x14ac:dyDescent="0.25">
      <c r="AC576" s="33"/>
      <c r="AD576" s="33"/>
    </row>
    <row r="577" spans="29:30" x14ac:dyDescent="0.25">
      <c r="AC577" s="33"/>
      <c r="AD577" s="33"/>
    </row>
    <row r="578" spans="29:30" x14ac:dyDescent="0.25">
      <c r="AC578" s="33"/>
      <c r="AD578" s="33"/>
    </row>
    <row r="579" spans="29:30" x14ac:dyDescent="0.25">
      <c r="AC579" s="33"/>
      <c r="AD579" s="33"/>
    </row>
    <row r="580" spans="29:30" x14ac:dyDescent="0.25">
      <c r="AC580" s="33"/>
      <c r="AD580" s="33"/>
    </row>
    <row r="581" spans="29:30" x14ac:dyDescent="0.25">
      <c r="AC581" s="33"/>
      <c r="AD581" s="33"/>
    </row>
    <row r="582" spans="29:30" x14ac:dyDescent="0.25">
      <c r="AC582" s="33"/>
      <c r="AD582" s="33"/>
    </row>
    <row r="583" spans="29:30" x14ac:dyDescent="0.25">
      <c r="AC583" s="33"/>
      <c r="AD583" s="33"/>
    </row>
    <row r="584" spans="29:30" x14ac:dyDescent="0.25">
      <c r="AC584" s="33"/>
      <c r="AD584" s="33"/>
    </row>
    <row r="585" spans="29:30" x14ac:dyDescent="0.25">
      <c r="AC585" s="33"/>
      <c r="AD585" s="33"/>
    </row>
    <row r="586" spans="29:30" x14ac:dyDescent="0.25">
      <c r="AC586" s="33"/>
      <c r="AD586" s="33"/>
    </row>
    <row r="587" spans="29:30" x14ac:dyDescent="0.25">
      <c r="AC587" s="33"/>
      <c r="AD587" s="33"/>
    </row>
    <row r="588" spans="29:30" x14ac:dyDescent="0.25">
      <c r="AC588" s="33"/>
      <c r="AD588" s="33"/>
    </row>
    <row r="589" spans="29:30" x14ac:dyDescent="0.25">
      <c r="AC589" s="33"/>
      <c r="AD589" s="33"/>
    </row>
    <row r="590" spans="29:30" x14ac:dyDescent="0.25">
      <c r="AC590" s="33"/>
      <c r="AD590" s="33"/>
    </row>
    <row r="591" spans="29:30" x14ac:dyDescent="0.25">
      <c r="AC591" s="33"/>
      <c r="AD591" s="33"/>
    </row>
    <row r="592" spans="29:30" x14ac:dyDescent="0.25">
      <c r="AC592" s="33"/>
      <c r="AD592" s="33"/>
    </row>
    <row r="593" spans="29:30" x14ac:dyDescent="0.25">
      <c r="AC593" s="33"/>
      <c r="AD593" s="33"/>
    </row>
    <row r="594" spans="29:30" x14ac:dyDescent="0.25">
      <c r="AC594" s="33"/>
      <c r="AD594" s="33"/>
    </row>
    <row r="595" spans="29:30" x14ac:dyDescent="0.25">
      <c r="AC595" s="33"/>
      <c r="AD595" s="33"/>
    </row>
    <row r="596" spans="29:30" x14ac:dyDescent="0.25">
      <c r="AC596" s="33"/>
      <c r="AD596" s="33"/>
    </row>
    <row r="597" spans="29:30" x14ac:dyDescent="0.25">
      <c r="AC597" s="33"/>
      <c r="AD597" s="33"/>
    </row>
    <row r="598" spans="29:30" x14ac:dyDescent="0.25">
      <c r="AC598" s="33"/>
      <c r="AD598" s="33"/>
    </row>
    <row r="599" spans="29:30" x14ac:dyDescent="0.25">
      <c r="AC599" s="33"/>
      <c r="AD599" s="33"/>
    </row>
    <row r="600" spans="29:30" x14ac:dyDescent="0.25">
      <c r="AC600" s="33"/>
      <c r="AD600" s="33"/>
    </row>
    <row r="601" spans="29:30" x14ac:dyDescent="0.25">
      <c r="AC601" s="33"/>
      <c r="AD601" s="33"/>
    </row>
    <row r="602" spans="29:30" x14ac:dyDescent="0.25">
      <c r="AC602" s="33"/>
      <c r="AD602" s="33"/>
    </row>
    <row r="603" spans="29:30" x14ac:dyDescent="0.25">
      <c r="AC603" s="33"/>
      <c r="AD603" s="33"/>
    </row>
    <row r="604" spans="29:30" x14ac:dyDescent="0.25">
      <c r="AC604" s="33"/>
      <c r="AD604" s="33"/>
    </row>
    <row r="605" spans="29:30" x14ac:dyDescent="0.25">
      <c r="AC605" s="33"/>
      <c r="AD605" s="33"/>
    </row>
    <row r="606" spans="29:30" x14ac:dyDescent="0.25">
      <c r="AC606" s="33"/>
      <c r="AD606" s="33"/>
    </row>
    <row r="607" spans="29:30" x14ac:dyDescent="0.25">
      <c r="AC607" s="33"/>
      <c r="AD607" s="33"/>
    </row>
    <row r="608" spans="29:30" x14ac:dyDescent="0.25">
      <c r="AC608" s="33"/>
      <c r="AD608" s="33"/>
    </row>
    <row r="609" spans="29:30" x14ac:dyDescent="0.25">
      <c r="AC609" s="33"/>
      <c r="AD609" s="33"/>
    </row>
    <row r="610" spans="29:30" x14ac:dyDescent="0.25">
      <c r="AC610" s="33"/>
      <c r="AD610" s="33"/>
    </row>
    <row r="611" spans="29:30" x14ac:dyDescent="0.25">
      <c r="AC611" s="33"/>
      <c r="AD611" s="33"/>
    </row>
    <row r="612" spans="29:30" x14ac:dyDescent="0.25">
      <c r="AC612" s="33"/>
      <c r="AD612" s="33"/>
    </row>
    <row r="613" spans="29:30" x14ac:dyDescent="0.25">
      <c r="AC613" s="33"/>
      <c r="AD613" s="33"/>
    </row>
    <row r="614" spans="29:30" x14ac:dyDescent="0.25">
      <c r="AC614" s="33"/>
      <c r="AD614" s="33"/>
    </row>
    <row r="615" spans="29:30" x14ac:dyDescent="0.25">
      <c r="AC615" s="33"/>
      <c r="AD615" s="33"/>
    </row>
    <row r="616" spans="29:30" x14ac:dyDescent="0.25">
      <c r="AC616" s="33"/>
      <c r="AD616" s="33"/>
    </row>
    <row r="617" spans="29:30" x14ac:dyDescent="0.25">
      <c r="AC617" s="33"/>
      <c r="AD617" s="33"/>
    </row>
    <row r="618" spans="29:30" x14ac:dyDescent="0.25">
      <c r="AC618" s="33"/>
      <c r="AD618" s="33"/>
    </row>
    <row r="619" spans="29:30" x14ac:dyDescent="0.25">
      <c r="AC619" s="33"/>
      <c r="AD619" s="33"/>
    </row>
    <row r="620" spans="29:30" x14ac:dyDescent="0.25">
      <c r="AC620" s="33"/>
      <c r="AD620" s="33"/>
    </row>
    <row r="621" spans="29:30" x14ac:dyDescent="0.25">
      <c r="AC621" s="33"/>
      <c r="AD621" s="33"/>
    </row>
    <row r="622" spans="29:30" x14ac:dyDescent="0.25">
      <c r="AC622" s="33"/>
      <c r="AD622" s="33"/>
    </row>
    <row r="623" spans="29:30" x14ac:dyDescent="0.25">
      <c r="AC623" s="33"/>
      <c r="AD623" s="33"/>
    </row>
    <row r="624" spans="29:30" x14ac:dyDescent="0.25">
      <c r="AC624" s="33"/>
      <c r="AD624" s="33"/>
    </row>
    <row r="625" spans="29:30" x14ac:dyDescent="0.25">
      <c r="AC625" s="33"/>
      <c r="AD625" s="33"/>
    </row>
    <row r="626" spans="29:30" x14ac:dyDescent="0.25">
      <c r="AC626" s="33"/>
      <c r="AD626" s="33"/>
    </row>
    <row r="627" spans="29:30" x14ac:dyDescent="0.25">
      <c r="AC627" s="33"/>
      <c r="AD627" s="33"/>
    </row>
    <row r="628" spans="29:30" x14ac:dyDescent="0.25">
      <c r="AC628" s="33"/>
      <c r="AD628" s="33"/>
    </row>
    <row r="629" spans="29:30" x14ac:dyDescent="0.25">
      <c r="AC629" s="33"/>
      <c r="AD629" s="33"/>
    </row>
    <row r="630" spans="29:30" x14ac:dyDescent="0.25">
      <c r="AC630" s="33"/>
      <c r="AD630" s="33"/>
    </row>
    <row r="631" spans="29:30" x14ac:dyDescent="0.25">
      <c r="AC631" s="33"/>
      <c r="AD631" s="33"/>
    </row>
    <row r="632" spans="29:30" x14ac:dyDescent="0.25">
      <c r="AC632" s="33"/>
      <c r="AD632" s="33"/>
    </row>
    <row r="633" spans="29:30" x14ac:dyDescent="0.25">
      <c r="AC633" s="33"/>
      <c r="AD633" s="33"/>
    </row>
    <row r="634" spans="29:30" x14ac:dyDescent="0.25">
      <c r="AC634" s="33"/>
      <c r="AD634" s="33"/>
    </row>
    <row r="635" spans="29:30" x14ac:dyDescent="0.25">
      <c r="AC635" s="33"/>
      <c r="AD635" s="33"/>
    </row>
    <row r="636" spans="29:30" x14ac:dyDescent="0.25">
      <c r="AC636" s="33"/>
      <c r="AD636" s="33"/>
    </row>
    <row r="637" spans="29:30" x14ac:dyDescent="0.25">
      <c r="AC637" s="33"/>
      <c r="AD637" s="33"/>
    </row>
    <row r="638" spans="29:30" x14ac:dyDescent="0.25">
      <c r="AC638" s="33"/>
      <c r="AD638" s="33"/>
    </row>
    <row r="639" spans="29:30" x14ac:dyDescent="0.25">
      <c r="AC639" s="33"/>
      <c r="AD639" s="33"/>
    </row>
    <row r="640" spans="29:30" x14ac:dyDescent="0.25">
      <c r="AC640" s="33"/>
      <c r="AD640" s="33"/>
    </row>
    <row r="641" spans="29:30" x14ac:dyDescent="0.25">
      <c r="AC641" s="33"/>
      <c r="AD641" s="33"/>
    </row>
    <row r="642" spans="29:30" x14ac:dyDescent="0.25">
      <c r="AC642" s="33"/>
      <c r="AD642" s="33"/>
    </row>
    <row r="643" spans="29:30" x14ac:dyDescent="0.25">
      <c r="AC643" s="33"/>
      <c r="AD643" s="33"/>
    </row>
    <row r="644" spans="29:30" x14ac:dyDescent="0.25">
      <c r="AC644" s="33"/>
      <c r="AD644" s="33"/>
    </row>
    <row r="645" spans="29:30" x14ac:dyDescent="0.25">
      <c r="AC645" s="33"/>
      <c r="AD645" s="33"/>
    </row>
    <row r="646" spans="29:30" x14ac:dyDescent="0.25">
      <c r="AC646" s="33"/>
      <c r="AD646" s="33"/>
    </row>
    <row r="647" spans="29:30" x14ac:dyDescent="0.25">
      <c r="AC647" s="33"/>
      <c r="AD647" s="33"/>
    </row>
    <row r="648" spans="29:30" x14ac:dyDescent="0.25">
      <c r="AC648" s="33"/>
      <c r="AD648" s="33"/>
    </row>
    <row r="649" spans="29:30" x14ac:dyDescent="0.25">
      <c r="AC649" s="33"/>
      <c r="AD649" s="33"/>
    </row>
    <row r="650" spans="29:30" x14ac:dyDescent="0.25">
      <c r="AC650" s="33"/>
      <c r="AD650" s="33"/>
    </row>
    <row r="651" spans="29:30" x14ac:dyDescent="0.25">
      <c r="AC651" s="33"/>
      <c r="AD651" s="33"/>
    </row>
    <row r="652" spans="29:30" x14ac:dyDescent="0.25">
      <c r="AC652" s="33"/>
      <c r="AD652" s="33"/>
    </row>
    <row r="653" spans="29:30" x14ac:dyDescent="0.25">
      <c r="AC653" s="33"/>
      <c r="AD653" s="33"/>
    </row>
    <row r="654" spans="29:30" x14ac:dyDescent="0.25">
      <c r="AC654" s="33"/>
      <c r="AD654" s="33"/>
    </row>
    <row r="655" spans="29:30" x14ac:dyDescent="0.25">
      <c r="AC655" s="33"/>
      <c r="AD655" s="33"/>
    </row>
    <row r="656" spans="29:30" x14ac:dyDescent="0.25">
      <c r="AC656" s="33"/>
      <c r="AD656" s="33"/>
    </row>
    <row r="657" spans="29:30" x14ac:dyDescent="0.25">
      <c r="AC657" s="33"/>
      <c r="AD657" s="33"/>
    </row>
    <row r="658" spans="29:30" x14ac:dyDescent="0.25">
      <c r="AC658" s="33"/>
      <c r="AD658" s="33"/>
    </row>
    <row r="659" spans="29:30" x14ac:dyDescent="0.25">
      <c r="AC659" s="33"/>
      <c r="AD659" s="33"/>
    </row>
    <row r="660" spans="29:30" x14ac:dyDescent="0.25">
      <c r="AC660" s="33"/>
      <c r="AD660" s="33"/>
    </row>
    <row r="661" spans="29:30" x14ac:dyDescent="0.25">
      <c r="AC661" s="33"/>
      <c r="AD661" s="33"/>
    </row>
    <row r="662" spans="29:30" x14ac:dyDescent="0.25">
      <c r="AC662" s="33"/>
      <c r="AD662" s="33"/>
    </row>
    <row r="663" spans="29:30" x14ac:dyDescent="0.25">
      <c r="AC663" s="33"/>
      <c r="AD663" s="33"/>
    </row>
    <row r="664" spans="29:30" x14ac:dyDescent="0.25">
      <c r="AC664" s="33"/>
      <c r="AD664" s="33"/>
    </row>
    <row r="665" spans="29:30" x14ac:dyDescent="0.25">
      <c r="AC665" s="33"/>
      <c r="AD665" s="33"/>
    </row>
    <row r="666" spans="29:30" x14ac:dyDescent="0.25">
      <c r="AC666" s="33"/>
      <c r="AD666" s="33"/>
    </row>
    <row r="667" spans="29:30" x14ac:dyDescent="0.25">
      <c r="AC667" s="33"/>
      <c r="AD667" s="33"/>
    </row>
    <row r="668" spans="29:30" x14ac:dyDescent="0.25">
      <c r="AC668" s="33"/>
      <c r="AD668" s="33"/>
    </row>
    <row r="669" spans="29:30" x14ac:dyDescent="0.25">
      <c r="AC669" s="33"/>
      <c r="AD669" s="33"/>
    </row>
    <row r="670" spans="29:30" x14ac:dyDescent="0.25">
      <c r="AC670" s="33"/>
      <c r="AD670" s="33"/>
    </row>
    <row r="671" spans="29:30" x14ac:dyDescent="0.25">
      <c r="AC671" s="33"/>
      <c r="AD671" s="33"/>
    </row>
    <row r="672" spans="29:30" x14ac:dyDescent="0.25">
      <c r="AC672" s="33"/>
      <c r="AD672" s="33"/>
    </row>
    <row r="673" spans="29:30" x14ac:dyDescent="0.25">
      <c r="AC673" s="33"/>
      <c r="AD673" s="33"/>
    </row>
    <row r="674" spans="29:30" x14ac:dyDescent="0.25">
      <c r="AC674" s="33"/>
      <c r="AD674" s="33"/>
    </row>
    <row r="675" spans="29:30" x14ac:dyDescent="0.25">
      <c r="AC675" s="33"/>
      <c r="AD675" s="33"/>
    </row>
    <row r="676" spans="29:30" x14ac:dyDescent="0.25">
      <c r="AC676" s="33"/>
      <c r="AD676" s="33"/>
    </row>
    <row r="677" spans="29:30" x14ac:dyDescent="0.25">
      <c r="AC677" s="33"/>
      <c r="AD677" s="33"/>
    </row>
    <row r="678" spans="29:30" x14ac:dyDescent="0.25">
      <c r="AC678" s="33"/>
      <c r="AD678" s="33"/>
    </row>
    <row r="679" spans="29:30" x14ac:dyDescent="0.25">
      <c r="AC679" s="33"/>
      <c r="AD679" s="33"/>
    </row>
    <row r="680" spans="29:30" x14ac:dyDescent="0.25">
      <c r="AC680" s="33"/>
      <c r="AD680" s="33"/>
    </row>
    <row r="681" spans="29:30" x14ac:dyDescent="0.25">
      <c r="AC681" s="33"/>
      <c r="AD681" s="33"/>
    </row>
    <row r="682" spans="29:30" x14ac:dyDescent="0.25">
      <c r="AC682" s="33"/>
      <c r="AD682" s="33"/>
    </row>
    <row r="683" spans="29:30" x14ac:dyDescent="0.25">
      <c r="AC683" s="33"/>
      <c r="AD683" s="33"/>
    </row>
    <row r="684" spans="29:30" x14ac:dyDescent="0.25">
      <c r="AC684" s="33"/>
      <c r="AD684" s="33"/>
    </row>
    <row r="685" spans="29:30" x14ac:dyDescent="0.25">
      <c r="AC685" s="33"/>
      <c r="AD685" s="33"/>
    </row>
    <row r="686" spans="29:30" x14ac:dyDescent="0.25">
      <c r="AC686" s="33"/>
      <c r="AD686" s="33"/>
    </row>
    <row r="687" spans="29:30" x14ac:dyDescent="0.25">
      <c r="AC687" s="33"/>
      <c r="AD687" s="33"/>
    </row>
    <row r="688" spans="29:30" x14ac:dyDescent="0.25">
      <c r="AC688" s="33"/>
      <c r="AD688" s="33"/>
    </row>
    <row r="689" spans="29:30" x14ac:dyDescent="0.25">
      <c r="AC689" s="33"/>
      <c r="AD689" s="33"/>
    </row>
    <row r="690" spans="29:30" x14ac:dyDescent="0.25">
      <c r="AC690" s="33"/>
      <c r="AD690" s="33"/>
    </row>
    <row r="691" spans="29:30" x14ac:dyDescent="0.25">
      <c r="AC691" s="33"/>
      <c r="AD691" s="33"/>
    </row>
    <row r="692" spans="29:30" x14ac:dyDescent="0.25">
      <c r="AC692" s="33"/>
      <c r="AD692" s="33"/>
    </row>
    <row r="693" spans="29:30" x14ac:dyDescent="0.25">
      <c r="AC693" s="33"/>
      <c r="AD693" s="33"/>
    </row>
    <row r="694" spans="29:30" x14ac:dyDescent="0.25">
      <c r="AC694" s="33"/>
      <c r="AD694" s="33"/>
    </row>
    <row r="695" spans="29:30" x14ac:dyDescent="0.25">
      <c r="AC695" s="33"/>
      <c r="AD695" s="33"/>
    </row>
    <row r="696" spans="29:30" x14ac:dyDescent="0.25">
      <c r="AC696" s="33"/>
      <c r="AD696" s="33"/>
    </row>
    <row r="697" spans="29:30" x14ac:dyDescent="0.25">
      <c r="AC697" s="33"/>
      <c r="AD697" s="33"/>
    </row>
    <row r="698" spans="29:30" x14ac:dyDescent="0.25">
      <c r="AC698" s="33"/>
      <c r="AD698" s="33"/>
    </row>
    <row r="699" spans="29:30" x14ac:dyDescent="0.25">
      <c r="AC699" s="33"/>
      <c r="AD699" s="33"/>
    </row>
    <row r="700" spans="29:30" x14ac:dyDescent="0.25">
      <c r="AC700" s="33"/>
      <c r="AD700" s="33"/>
    </row>
    <row r="701" spans="29:30" x14ac:dyDescent="0.25">
      <c r="AC701" s="33"/>
      <c r="AD701" s="33"/>
    </row>
    <row r="702" spans="29:30" x14ac:dyDescent="0.25">
      <c r="AC702" s="33"/>
      <c r="AD702" s="33"/>
    </row>
    <row r="703" spans="29:30" x14ac:dyDescent="0.25">
      <c r="AC703" s="33"/>
      <c r="AD703" s="33"/>
    </row>
    <row r="704" spans="29:30" x14ac:dyDescent="0.25">
      <c r="AC704" s="33"/>
      <c r="AD704" s="33"/>
    </row>
    <row r="705" spans="29:30" x14ac:dyDescent="0.25">
      <c r="AC705" s="33"/>
      <c r="AD705" s="33"/>
    </row>
    <row r="706" spans="29:30" x14ac:dyDescent="0.25">
      <c r="AC706" s="33"/>
      <c r="AD706" s="33"/>
    </row>
    <row r="707" spans="29:30" x14ac:dyDescent="0.25">
      <c r="AC707" s="33"/>
      <c r="AD707" s="33"/>
    </row>
    <row r="708" spans="29:30" x14ac:dyDescent="0.25">
      <c r="AC708" s="33"/>
      <c r="AD708" s="33"/>
    </row>
    <row r="709" spans="29:30" x14ac:dyDescent="0.25">
      <c r="AC709" s="33"/>
      <c r="AD709" s="33"/>
    </row>
    <row r="710" spans="29:30" x14ac:dyDescent="0.25">
      <c r="AC710" s="33"/>
      <c r="AD710" s="33"/>
    </row>
    <row r="711" spans="29:30" x14ac:dyDescent="0.25">
      <c r="AC711" s="33"/>
      <c r="AD711" s="33"/>
    </row>
    <row r="712" spans="29:30" x14ac:dyDescent="0.25">
      <c r="AC712" s="33"/>
      <c r="AD712" s="33"/>
    </row>
    <row r="713" spans="29:30" x14ac:dyDescent="0.25">
      <c r="AC713" s="33"/>
      <c r="AD713" s="33"/>
    </row>
    <row r="714" spans="29:30" x14ac:dyDescent="0.25">
      <c r="AC714" s="33"/>
      <c r="AD714" s="33"/>
    </row>
    <row r="715" spans="29:30" x14ac:dyDescent="0.25">
      <c r="AC715" s="33"/>
      <c r="AD715" s="33"/>
    </row>
    <row r="716" spans="29:30" x14ac:dyDescent="0.25">
      <c r="AC716" s="33"/>
      <c r="AD716" s="33"/>
    </row>
    <row r="717" spans="29:30" x14ac:dyDescent="0.25">
      <c r="AC717" s="33"/>
      <c r="AD717" s="33"/>
    </row>
    <row r="718" spans="29:30" x14ac:dyDescent="0.25">
      <c r="AC718" s="33"/>
      <c r="AD718" s="33"/>
    </row>
    <row r="719" spans="29:30" x14ac:dyDescent="0.25">
      <c r="AC719" s="33"/>
      <c r="AD719" s="33"/>
    </row>
    <row r="720" spans="29:30" x14ac:dyDescent="0.25">
      <c r="AC720" s="33"/>
      <c r="AD720" s="33"/>
    </row>
    <row r="721" spans="29:30" x14ac:dyDescent="0.25">
      <c r="AC721" s="33"/>
      <c r="AD721" s="33"/>
    </row>
    <row r="722" spans="29:30" x14ac:dyDescent="0.25">
      <c r="AC722" s="33"/>
      <c r="AD722" s="33"/>
    </row>
    <row r="723" spans="29:30" x14ac:dyDescent="0.25">
      <c r="AC723" s="33"/>
      <c r="AD723" s="33"/>
    </row>
    <row r="724" spans="29:30" x14ac:dyDescent="0.25">
      <c r="AC724" s="33"/>
      <c r="AD724" s="33"/>
    </row>
    <row r="725" spans="29:30" x14ac:dyDescent="0.25">
      <c r="AC725" s="33"/>
      <c r="AD725" s="33"/>
    </row>
    <row r="726" spans="29:30" x14ac:dyDescent="0.25">
      <c r="AC726" s="33"/>
      <c r="AD726" s="33"/>
    </row>
    <row r="727" spans="29:30" x14ac:dyDescent="0.25">
      <c r="AC727" s="33"/>
      <c r="AD727" s="33"/>
    </row>
    <row r="728" spans="29:30" x14ac:dyDescent="0.25">
      <c r="AC728" s="33"/>
      <c r="AD728" s="33"/>
    </row>
    <row r="729" spans="29:30" x14ac:dyDescent="0.25">
      <c r="AC729" s="33"/>
      <c r="AD729" s="33"/>
    </row>
    <row r="730" spans="29:30" x14ac:dyDescent="0.25">
      <c r="AC730" s="33"/>
      <c r="AD730" s="33"/>
    </row>
    <row r="731" spans="29:30" x14ac:dyDescent="0.25">
      <c r="AC731" s="33"/>
      <c r="AD731" s="33"/>
    </row>
    <row r="732" spans="29:30" x14ac:dyDescent="0.25">
      <c r="AC732" s="33"/>
      <c r="AD732" s="33"/>
    </row>
    <row r="733" spans="29:30" x14ac:dyDescent="0.25">
      <c r="AC733" s="33"/>
      <c r="AD733" s="33"/>
    </row>
    <row r="734" spans="29:30" x14ac:dyDescent="0.25">
      <c r="AC734" s="33"/>
      <c r="AD734" s="33"/>
    </row>
    <row r="735" spans="29:30" x14ac:dyDescent="0.25">
      <c r="AC735" s="33"/>
      <c r="AD735" s="33"/>
    </row>
    <row r="736" spans="29:30" x14ac:dyDescent="0.25">
      <c r="AC736" s="33"/>
      <c r="AD736" s="33"/>
    </row>
    <row r="737" spans="29:30" x14ac:dyDescent="0.25">
      <c r="AC737" s="33"/>
      <c r="AD737" s="33"/>
    </row>
    <row r="738" spans="29:30" x14ac:dyDescent="0.25">
      <c r="AC738" s="33"/>
      <c r="AD738" s="33"/>
    </row>
    <row r="739" spans="29:30" x14ac:dyDescent="0.25">
      <c r="AC739" s="33"/>
      <c r="AD739" s="33"/>
    </row>
    <row r="740" spans="29:30" x14ac:dyDescent="0.25">
      <c r="AC740" s="33"/>
      <c r="AD740" s="33"/>
    </row>
    <row r="741" spans="29:30" x14ac:dyDescent="0.25">
      <c r="AC741" s="33"/>
      <c r="AD741" s="33"/>
    </row>
    <row r="742" spans="29:30" x14ac:dyDescent="0.25">
      <c r="AC742" s="33"/>
      <c r="AD742" s="33"/>
    </row>
    <row r="743" spans="29:30" x14ac:dyDescent="0.25">
      <c r="AC743" s="33"/>
      <c r="AD743" s="33"/>
    </row>
    <row r="744" spans="29:30" x14ac:dyDescent="0.25">
      <c r="AC744" s="33"/>
      <c r="AD744" s="33"/>
    </row>
    <row r="745" spans="29:30" x14ac:dyDescent="0.25">
      <c r="AC745" s="33"/>
      <c r="AD745" s="33"/>
    </row>
    <row r="746" spans="29:30" x14ac:dyDescent="0.25">
      <c r="AC746" s="33"/>
      <c r="AD746" s="33"/>
    </row>
    <row r="747" spans="29:30" x14ac:dyDescent="0.25">
      <c r="AC747" s="33"/>
      <c r="AD747" s="33"/>
    </row>
    <row r="748" spans="29:30" x14ac:dyDescent="0.25">
      <c r="AC748" s="33"/>
      <c r="AD748" s="33"/>
    </row>
    <row r="749" spans="29:30" x14ac:dyDescent="0.25">
      <c r="AC749" s="33"/>
      <c r="AD749" s="33"/>
    </row>
    <row r="750" spans="29:30" x14ac:dyDescent="0.25">
      <c r="AC750" s="33"/>
      <c r="AD750" s="33"/>
    </row>
    <row r="751" spans="29:30" x14ac:dyDescent="0.25">
      <c r="AC751" s="33"/>
      <c r="AD751" s="33"/>
    </row>
    <row r="752" spans="29:30" x14ac:dyDescent="0.25">
      <c r="AC752" s="33"/>
      <c r="AD752" s="33"/>
    </row>
    <row r="753" spans="29:30" x14ac:dyDescent="0.25">
      <c r="AC753" s="33"/>
      <c r="AD753" s="33"/>
    </row>
    <row r="754" spans="29:30" x14ac:dyDescent="0.25">
      <c r="AC754" s="33"/>
      <c r="AD754" s="33"/>
    </row>
    <row r="755" spans="29:30" x14ac:dyDescent="0.25">
      <c r="AC755" s="33"/>
      <c r="AD755" s="33"/>
    </row>
    <row r="756" spans="29:30" x14ac:dyDescent="0.25">
      <c r="AC756" s="33"/>
      <c r="AD756" s="33"/>
    </row>
    <row r="757" spans="29:30" x14ac:dyDescent="0.25">
      <c r="AC757" s="33"/>
      <c r="AD757" s="33"/>
    </row>
    <row r="758" spans="29:30" x14ac:dyDescent="0.25">
      <c r="AC758" s="33"/>
      <c r="AD758" s="33"/>
    </row>
    <row r="759" spans="29:30" x14ac:dyDescent="0.25">
      <c r="AC759" s="33"/>
      <c r="AD759" s="33"/>
    </row>
    <row r="760" spans="29:30" x14ac:dyDescent="0.25">
      <c r="AC760" s="33"/>
      <c r="AD760" s="33"/>
    </row>
    <row r="761" spans="29:30" x14ac:dyDescent="0.25">
      <c r="AC761" s="33"/>
      <c r="AD761" s="33"/>
    </row>
    <row r="762" spans="29:30" x14ac:dyDescent="0.25">
      <c r="AC762" s="33"/>
      <c r="AD762" s="33"/>
    </row>
    <row r="763" spans="29:30" x14ac:dyDescent="0.25">
      <c r="AC763" s="33"/>
      <c r="AD763" s="33"/>
    </row>
    <row r="764" spans="29:30" x14ac:dyDescent="0.25">
      <c r="AC764" s="33"/>
      <c r="AD764" s="33"/>
    </row>
    <row r="765" spans="29:30" x14ac:dyDescent="0.25">
      <c r="AC765" s="33"/>
      <c r="AD765" s="33"/>
    </row>
    <row r="766" spans="29:30" x14ac:dyDescent="0.25">
      <c r="AC766" s="33"/>
      <c r="AD766" s="33"/>
    </row>
    <row r="767" spans="29:30" x14ac:dyDescent="0.25">
      <c r="AC767" s="33"/>
      <c r="AD767" s="33"/>
    </row>
    <row r="768" spans="29:30" x14ac:dyDescent="0.25">
      <c r="AC768" s="33"/>
      <c r="AD768" s="33"/>
    </row>
    <row r="769" spans="29:30" x14ac:dyDescent="0.25">
      <c r="AC769" s="33"/>
      <c r="AD769" s="33"/>
    </row>
    <row r="770" spans="29:30" x14ac:dyDescent="0.25">
      <c r="AC770" s="33"/>
      <c r="AD770" s="33"/>
    </row>
    <row r="771" spans="29:30" x14ac:dyDescent="0.25">
      <c r="AC771" s="33"/>
      <c r="AD771" s="33"/>
    </row>
    <row r="772" spans="29:30" x14ac:dyDescent="0.25">
      <c r="AC772" s="33"/>
      <c r="AD772" s="33"/>
    </row>
    <row r="773" spans="29:30" x14ac:dyDescent="0.25">
      <c r="AC773" s="33"/>
      <c r="AD773" s="33"/>
    </row>
    <row r="774" spans="29:30" x14ac:dyDescent="0.25">
      <c r="AC774" s="33"/>
      <c r="AD774" s="33"/>
    </row>
    <row r="775" spans="29:30" x14ac:dyDescent="0.25">
      <c r="AC775" s="33"/>
      <c r="AD775" s="33"/>
    </row>
    <row r="776" spans="29:30" x14ac:dyDescent="0.25">
      <c r="AC776" s="33"/>
      <c r="AD776" s="33"/>
    </row>
    <row r="777" spans="29:30" x14ac:dyDescent="0.25">
      <c r="AC777" s="33"/>
      <c r="AD777" s="33"/>
    </row>
    <row r="778" spans="29:30" x14ac:dyDescent="0.25">
      <c r="AC778" s="33"/>
      <c r="AD778" s="33"/>
    </row>
    <row r="779" spans="29:30" x14ac:dyDescent="0.25">
      <c r="AC779" s="33"/>
      <c r="AD779" s="33"/>
    </row>
    <row r="780" spans="29:30" x14ac:dyDescent="0.25">
      <c r="AC780" s="33"/>
      <c r="AD780" s="33"/>
    </row>
    <row r="781" spans="29:30" x14ac:dyDescent="0.25">
      <c r="AC781" s="33"/>
      <c r="AD781" s="33"/>
    </row>
    <row r="782" spans="29:30" x14ac:dyDescent="0.25">
      <c r="AC782" s="33"/>
      <c r="AD782" s="33"/>
    </row>
    <row r="783" spans="29:30" x14ac:dyDescent="0.25">
      <c r="AC783" s="33"/>
      <c r="AD783" s="33"/>
    </row>
    <row r="784" spans="29:30" x14ac:dyDescent="0.25">
      <c r="AC784" s="33"/>
      <c r="AD784" s="33"/>
    </row>
    <row r="785" spans="29:30" x14ac:dyDescent="0.25">
      <c r="AC785" s="33"/>
      <c r="AD785" s="33"/>
    </row>
    <row r="786" spans="29:30" x14ac:dyDescent="0.25">
      <c r="AC786" s="33"/>
      <c r="AD786" s="33"/>
    </row>
    <row r="787" spans="29:30" x14ac:dyDescent="0.25">
      <c r="AC787" s="33"/>
      <c r="AD787" s="33"/>
    </row>
    <row r="788" spans="29:30" x14ac:dyDescent="0.25">
      <c r="AC788" s="33"/>
      <c r="AD788" s="33"/>
    </row>
    <row r="789" spans="29:30" x14ac:dyDescent="0.25">
      <c r="AC789" s="33"/>
      <c r="AD789" s="33"/>
    </row>
    <row r="790" spans="29:30" x14ac:dyDescent="0.25">
      <c r="AC790" s="33"/>
      <c r="AD790" s="33"/>
    </row>
    <row r="791" spans="29:30" x14ac:dyDescent="0.25">
      <c r="AC791" s="33"/>
      <c r="AD791" s="33"/>
    </row>
    <row r="792" spans="29:30" x14ac:dyDescent="0.25">
      <c r="AC792" s="33"/>
      <c r="AD792" s="33"/>
    </row>
    <row r="793" spans="29:30" x14ac:dyDescent="0.25">
      <c r="AC793" s="33"/>
      <c r="AD793" s="33"/>
    </row>
    <row r="794" spans="29:30" x14ac:dyDescent="0.25">
      <c r="AC794" s="33"/>
      <c r="AD794" s="33"/>
    </row>
    <row r="795" spans="29:30" x14ac:dyDescent="0.25">
      <c r="AC795" s="33"/>
      <c r="AD795" s="33"/>
    </row>
    <row r="796" spans="29:30" x14ac:dyDescent="0.25">
      <c r="AC796" s="33"/>
      <c r="AD796" s="33"/>
    </row>
    <row r="797" spans="29:30" x14ac:dyDescent="0.25">
      <c r="AC797" s="33"/>
      <c r="AD797" s="33"/>
    </row>
    <row r="798" spans="29:30" x14ac:dyDescent="0.25">
      <c r="AC798" s="33"/>
      <c r="AD798" s="33"/>
    </row>
    <row r="799" spans="29:30" x14ac:dyDescent="0.25">
      <c r="AC799" s="33"/>
      <c r="AD799" s="33"/>
    </row>
    <row r="800" spans="29:30" x14ac:dyDescent="0.25">
      <c r="AC800" s="33"/>
      <c r="AD800" s="33"/>
    </row>
    <row r="801" spans="29:30" x14ac:dyDescent="0.25">
      <c r="AC801" s="33"/>
      <c r="AD801" s="33"/>
    </row>
    <row r="802" spans="29:30" x14ac:dyDescent="0.25">
      <c r="AC802" s="33"/>
      <c r="AD802" s="33"/>
    </row>
    <row r="803" spans="29:30" x14ac:dyDescent="0.25">
      <c r="AC803" s="33"/>
      <c r="AD803" s="33"/>
    </row>
    <row r="804" spans="29:30" x14ac:dyDescent="0.25">
      <c r="AC804" s="33"/>
      <c r="AD804" s="33"/>
    </row>
    <row r="805" spans="29:30" x14ac:dyDescent="0.25">
      <c r="AC805" s="33"/>
      <c r="AD805" s="33"/>
    </row>
    <row r="806" spans="29:30" x14ac:dyDescent="0.25">
      <c r="AC806" s="33"/>
      <c r="AD806" s="33"/>
    </row>
    <row r="807" spans="29:30" x14ac:dyDescent="0.25">
      <c r="AC807" s="33"/>
      <c r="AD807" s="33"/>
    </row>
    <row r="808" spans="29:30" x14ac:dyDescent="0.25">
      <c r="AC808" s="33"/>
      <c r="AD808" s="33"/>
    </row>
    <row r="809" spans="29:30" x14ac:dyDescent="0.25">
      <c r="AC809" s="33"/>
      <c r="AD809" s="33"/>
    </row>
    <row r="810" spans="29:30" x14ac:dyDescent="0.25">
      <c r="AC810" s="33"/>
      <c r="AD810" s="33"/>
    </row>
    <row r="811" spans="29:30" x14ac:dyDescent="0.25">
      <c r="AC811" s="33"/>
      <c r="AD811" s="33"/>
    </row>
    <row r="812" spans="29:30" x14ac:dyDescent="0.25">
      <c r="AC812" s="33"/>
      <c r="AD812" s="33"/>
    </row>
    <row r="813" spans="29:30" x14ac:dyDescent="0.25">
      <c r="AC813" s="33"/>
      <c r="AD813" s="33"/>
    </row>
    <row r="814" spans="29:30" x14ac:dyDescent="0.25">
      <c r="AC814" s="33"/>
      <c r="AD814" s="33"/>
    </row>
    <row r="815" spans="29:30" x14ac:dyDescent="0.25">
      <c r="AC815" s="33"/>
      <c r="AD815" s="33"/>
    </row>
    <row r="816" spans="29:30" x14ac:dyDescent="0.25">
      <c r="AC816" s="33"/>
      <c r="AD816" s="33"/>
    </row>
    <row r="817" spans="29:30" x14ac:dyDescent="0.25">
      <c r="AC817" s="33"/>
      <c r="AD817" s="33"/>
    </row>
    <row r="818" spans="29:30" x14ac:dyDescent="0.25">
      <c r="AC818" s="33"/>
      <c r="AD818" s="33"/>
    </row>
    <row r="819" spans="29:30" x14ac:dyDescent="0.25">
      <c r="AC819" s="33"/>
      <c r="AD819" s="33"/>
    </row>
    <row r="820" spans="29:30" x14ac:dyDescent="0.25">
      <c r="AC820" s="33"/>
      <c r="AD820" s="33"/>
    </row>
    <row r="821" spans="29:30" x14ac:dyDescent="0.25">
      <c r="AC821" s="33"/>
      <c r="AD821" s="33"/>
    </row>
    <row r="822" spans="29:30" x14ac:dyDescent="0.25">
      <c r="AC822" s="33"/>
      <c r="AD822" s="33"/>
    </row>
    <row r="823" spans="29:30" x14ac:dyDescent="0.25">
      <c r="AC823" s="33"/>
      <c r="AD823" s="33"/>
    </row>
    <row r="824" spans="29:30" x14ac:dyDescent="0.25">
      <c r="AC824" s="33"/>
      <c r="AD824" s="33"/>
    </row>
    <row r="825" spans="29:30" x14ac:dyDescent="0.25">
      <c r="AC825" s="33"/>
      <c r="AD825" s="33"/>
    </row>
    <row r="826" spans="29:30" x14ac:dyDescent="0.25">
      <c r="AC826" s="33"/>
      <c r="AD826" s="33"/>
    </row>
    <row r="827" spans="29:30" x14ac:dyDescent="0.25">
      <c r="AC827" s="33"/>
      <c r="AD827" s="33"/>
    </row>
    <row r="828" spans="29:30" x14ac:dyDescent="0.25">
      <c r="AC828" s="33"/>
      <c r="AD828" s="33"/>
    </row>
    <row r="829" spans="29:30" x14ac:dyDescent="0.25">
      <c r="AC829" s="33"/>
      <c r="AD829" s="33"/>
    </row>
    <row r="830" spans="29:30" x14ac:dyDescent="0.25">
      <c r="AC830" s="33"/>
      <c r="AD830" s="33"/>
    </row>
    <row r="831" spans="29:30" x14ac:dyDescent="0.25">
      <c r="AC831" s="33"/>
      <c r="AD831" s="33"/>
    </row>
    <row r="832" spans="29:30" x14ac:dyDescent="0.25">
      <c r="AC832" s="33"/>
      <c r="AD832" s="33"/>
    </row>
    <row r="833" spans="29:30" x14ac:dyDescent="0.25">
      <c r="AC833" s="33"/>
      <c r="AD833" s="33"/>
    </row>
    <row r="834" spans="29:30" x14ac:dyDescent="0.25">
      <c r="AC834" s="33"/>
      <c r="AD834" s="33"/>
    </row>
    <row r="835" spans="29:30" x14ac:dyDescent="0.25">
      <c r="AC835" s="33"/>
      <c r="AD835" s="33"/>
    </row>
    <row r="836" spans="29:30" x14ac:dyDescent="0.25">
      <c r="AC836" s="33"/>
      <c r="AD836" s="33"/>
    </row>
    <row r="837" spans="29:30" x14ac:dyDescent="0.25">
      <c r="AC837" s="33"/>
      <c r="AD837" s="33"/>
    </row>
    <row r="838" spans="29:30" x14ac:dyDescent="0.25">
      <c r="AC838" s="33"/>
      <c r="AD838" s="33"/>
    </row>
    <row r="839" spans="29:30" x14ac:dyDescent="0.25">
      <c r="AC839" s="33"/>
      <c r="AD839" s="33"/>
    </row>
    <row r="840" spans="29:30" x14ac:dyDescent="0.25">
      <c r="AC840" s="33"/>
      <c r="AD840" s="33"/>
    </row>
    <row r="841" spans="29:30" x14ac:dyDescent="0.25">
      <c r="AC841" s="33"/>
      <c r="AD841" s="33"/>
    </row>
    <row r="842" spans="29:30" x14ac:dyDescent="0.25">
      <c r="AC842" s="33"/>
      <c r="AD842" s="33"/>
    </row>
    <row r="843" spans="29:30" x14ac:dyDescent="0.25">
      <c r="AC843" s="33"/>
      <c r="AD843" s="33"/>
    </row>
    <row r="844" spans="29:30" x14ac:dyDescent="0.25">
      <c r="AC844" s="33"/>
      <c r="AD844" s="33"/>
    </row>
    <row r="845" spans="29:30" x14ac:dyDescent="0.25">
      <c r="AC845" s="33"/>
      <c r="AD845" s="33"/>
    </row>
    <row r="846" spans="29:30" x14ac:dyDescent="0.25">
      <c r="AC846" s="33"/>
      <c r="AD846" s="33"/>
    </row>
    <row r="847" spans="29:30" x14ac:dyDescent="0.25">
      <c r="AC847" s="33"/>
      <c r="AD847" s="33"/>
    </row>
    <row r="848" spans="29:30" x14ac:dyDescent="0.25">
      <c r="AC848" s="33"/>
      <c r="AD848" s="33"/>
    </row>
    <row r="849" spans="29:30" x14ac:dyDescent="0.25">
      <c r="AC849" s="33"/>
      <c r="AD849" s="33"/>
    </row>
    <row r="850" spans="29:30" x14ac:dyDescent="0.25">
      <c r="AC850" s="33"/>
      <c r="AD850" s="33"/>
    </row>
    <row r="851" spans="29:30" x14ac:dyDescent="0.25">
      <c r="AC851" s="33"/>
      <c r="AD851" s="33"/>
    </row>
    <row r="852" spans="29:30" x14ac:dyDescent="0.25">
      <c r="AC852" s="33"/>
      <c r="AD852" s="33"/>
    </row>
    <row r="853" spans="29:30" x14ac:dyDescent="0.25">
      <c r="AC853" s="33"/>
      <c r="AD853" s="33"/>
    </row>
    <row r="854" spans="29:30" x14ac:dyDescent="0.25">
      <c r="AC854" s="33"/>
      <c r="AD854" s="33"/>
    </row>
    <row r="855" spans="29:30" x14ac:dyDescent="0.25">
      <c r="AC855" s="33"/>
      <c r="AD855" s="33"/>
    </row>
    <row r="856" spans="29:30" x14ac:dyDescent="0.25">
      <c r="AC856" s="33"/>
      <c r="AD856" s="33"/>
    </row>
    <row r="857" spans="29:30" x14ac:dyDescent="0.25">
      <c r="AC857" s="33"/>
      <c r="AD857" s="33"/>
    </row>
    <row r="858" spans="29:30" x14ac:dyDescent="0.25">
      <c r="AC858" s="33"/>
      <c r="AD858" s="33"/>
    </row>
    <row r="859" spans="29:30" x14ac:dyDescent="0.25">
      <c r="AC859" s="33"/>
      <c r="AD859" s="33"/>
    </row>
    <row r="860" spans="29:30" x14ac:dyDescent="0.25">
      <c r="AC860" s="33"/>
      <c r="AD860" s="33"/>
    </row>
    <row r="861" spans="29:30" x14ac:dyDescent="0.25">
      <c r="AC861" s="33"/>
      <c r="AD861" s="33"/>
    </row>
    <row r="862" spans="29:30" x14ac:dyDescent="0.25">
      <c r="AC862" s="33"/>
      <c r="AD862" s="33"/>
    </row>
    <row r="863" spans="29:30" x14ac:dyDescent="0.25">
      <c r="AC863" s="33"/>
      <c r="AD863" s="33"/>
    </row>
    <row r="864" spans="29:30" x14ac:dyDescent="0.25">
      <c r="AC864" s="33"/>
      <c r="AD864" s="33"/>
    </row>
    <row r="865" spans="29:30" x14ac:dyDescent="0.25">
      <c r="AC865" s="33"/>
      <c r="AD865" s="33"/>
    </row>
    <row r="866" spans="29:30" x14ac:dyDescent="0.25">
      <c r="AC866" s="33"/>
      <c r="AD866" s="33"/>
    </row>
    <row r="867" spans="29:30" x14ac:dyDescent="0.25">
      <c r="AC867" s="33"/>
      <c r="AD867" s="33"/>
    </row>
    <row r="868" spans="29:30" x14ac:dyDescent="0.25">
      <c r="AC868" s="33"/>
      <c r="AD868" s="33"/>
    </row>
    <row r="869" spans="29:30" x14ac:dyDescent="0.25">
      <c r="AC869" s="33"/>
      <c r="AD869" s="33"/>
    </row>
    <row r="870" spans="29:30" x14ac:dyDescent="0.25">
      <c r="AC870" s="33"/>
      <c r="AD870" s="33"/>
    </row>
    <row r="871" spans="29:30" x14ac:dyDescent="0.25">
      <c r="AC871" s="33"/>
      <c r="AD871" s="33"/>
    </row>
    <row r="872" spans="29:30" x14ac:dyDescent="0.25">
      <c r="AC872" s="33"/>
      <c r="AD872" s="33"/>
    </row>
    <row r="873" spans="29:30" x14ac:dyDescent="0.25">
      <c r="AC873" s="33"/>
      <c r="AD873" s="33"/>
    </row>
    <row r="874" spans="29:30" x14ac:dyDescent="0.25">
      <c r="AC874" s="33"/>
      <c r="AD874" s="33"/>
    </row>
    <row r="875" spans="29:30" x14ac:dyDescent="0.25">
      <c r="AC875" s="33"/>
      <c r="AD875" s="33"/>
    </row>
    <row r="876" spans="29:30" x14ac:dyDescent="0.25">
      <c r="AC876" s="33"/>
      <c r="AD876" s="33"/>
    </row>
    <row r="877" spans="29:30" x14ac:dyDescent="0.25">
      <c r="AC877" s="33"/>
      <c r="AD877" s="33"/>
    </row>
    <row r="878" spans="29:30" x14ac:dyDescent="0.25">
      <c r="AC878" s="33"/>
      <c r="AD878" s="33"/>
    </row>
    <row r="879" spans="29:30" x14ac:dyDescent="0.25">
      <c r="AC879" s="33"/>
      <c r="AD879" s="33"/>
    </row>
    <row r="880" spans="29:30" x14ac:dyDescent="0.25">
      <c r="AC880" s="33"/>
      <c r="AD880" s="33"/>
    </row>
    <row r="881" spans="29:30" x14ac:dyDescent="0.25">
      <c r="AC881" s="33"/>
      <c r="AD881" s="33"/>
    </row>
    <row r="882" spans="29:30" x14ac:dyDescent="0.25">
      <c r="AC882" s="33"/>
      <c r="AD882" s="33"/>
    </row>
    <row r="883" spans="29:30" x14ac:dyDescent="0.25">
      <c r="AC883" s="33"/>
      <c r="AD883" s="33"/>
    </row>
    <row r="884" spans="29:30" x14ac:dyDescent="0.25">
      <c r="AC884" s="33"/>
      <c r="AD884" s="33"/>
    </row>
    <row r="885" spans="29:30" x14ac:dyDescent="0.25">
      <c r="AC885" s="33"/>
      <c r="AD885" s="33"/>
    </row>
    <row r="886" spans="29:30" x14ac:dyDescent="0.25">
      <c r="AC886" s="33"/>
      <c r="AD886" s="33"/>
    </row>
    <row r="887" spans="29:30" x14ac:dyDescent="0.25">
      <c r="AC887" s="33"/>
      <c r="AD887" s="33"/>
    </row>
    <row r="888" spans="29:30" x14ac:dyDescent="0.25">
      <c r="AC888" s="33"/>
      <c r="AD888" s="33"/>
    </row>
    <row r="889" spans="29:30" x14ac:dyDescent="0.25">
      <c r="AC889" s="33"/>
      <c r="AD889" s="33"/>
    </row>
    <row r="890" spans="29:30" x14ac:dyDescent="0.25">
      <c r="AC890" s="33"/>
      <c r="AD890" s="33"/>
    </row>
    <row r="891" spans="29:30" x14ac:dyDescent="0.25">
      <c r="AC891" s="33"/>
      <c r="AD891" s="33"/>
    </row>
    <row r="892" spans="29:30" x14ac:dyDescent="0.25">
      <c r="AC892" s="33"/>
      <c r="AD892" s="33"/>
    </row>
    <row r="893" spans="29:30" x14ac:dyDescent="0.25">
      <c r="AC893" s="33"/>
      <c r="AD893" s="33"/>
    </row>
    <row r="894" spans="29:30" x14ac:dyDescent="0.25">
      <c r="AC894" s="33"/>
      <c r="AD894" s="33"/>
    </row>
    <row r="895" spans="29:30" x14ac:dyDescent="0.25">
      <c r="AC895" s="33"/>
      <c r="AD895" s="33"/>
    </row>
    <row r="896" spans="29:30" x14ac:dyDescent="0.25">
      <c r="AC896" s="33"/>
      <c r="AD896" s="33"/>
    </row>
    <row r="897" spans="29:30" x14ac:dyDescent="0.25">
      <c r="AC897" s="33"/>
      <c r="AD897" s="33"/>
    </row>
    <row r="898" spans="29:30" x14ac:dyDescent="0.25">
      <c r="AC898" s="33"/>
      <c r="AD898" s="33"/>
    </row>
    <row r="899" spans="29:30" x14ac:dyDescent="0.25">
      <c r="AC899" s="33"/>
      <c r="AD899" s="33"/>
    </row>
    <row r="900" spans="29:30" x14ac:dyDescent="0.25">
      <c r="AC900" s="33"/>
      <c r="AD900" s="33"/>
    </row>
    <row r="901" spans="29:30" x14ac:dyDescent="0.25">
      <c r="AC901" s="33"/>
      <c r="AD901" s="33"/>
    </row>
    <row r="902" spans="29:30" x14ac:dyDescent="0.25">
      <c r="AC902" s="33"/>
      <c r="AD902" s="33"/>
    </row>
    <row r="903" spans="29:30" x14ac:dyDescent="0.25">
      <c r="AC903" s="33"/>
      <c r="AD903" s="33"/>
    </row>
    <row r="904" spans="29:30" x14ac:dyDescent="0.25">
      <c r="AC904" s="33"/>
      <c r="AD904" s="33"/>
    </row>
    <row r="905" spans="29:30" x14ac:dyDescent="0.25">
      <c r="AC905" s="33"/>
      <c r="AD905" s="33"/>
    </row>
    <row r="906" spans="29:30" x14ac:dyDescent="0.25">
      <c r="AC906" s="33"/>
      <c r="AD906" s="33"/>
    </row>
    <row r="907" spans="29:30" x14ac:dyDescent="0.25">
      <c r="AC907" s="33"/>
      <c r="AD907" s="33"/>
    </row>
    <row r="908" spans="29:30" x14ac:dyDescent="0.25">
      <c r="AC908" s="33"/>
      <c r="AD908" s="33"/>
    </row>
    <row r="909" spans="29:30" x14ac:dyDescent="0.25">
      <c r="AC909" s="33"/>
      <c r="AD909" s="33"/>
    </row>
    <row r="910" spans="29:30" x14ac:dyDescent="0.25">
      <c r="AC910" s="33"/>
      <c r="AD910" s="33"/>
    </row>
    <row r="911" spans="29:30" x14ac:dyDescent="0.25">
      <c r="AC911" s="33"/>
      <c r="AD911" s="33"/>
    </row>
    <row r="912" spans="29:30" x14ac:dyDescent="0.25">
      <c r="AC912" s="33"/>
      <c r="AD912" s="33"/>
    </row>
    <row r="913" spans="29:30" x14ac:dyDescent="0.25">
      <c r="AC913" s="33"/>
      <c r="AD913" s="33"/>
    </row>
    <row r="914" spans="29:30" x14ac:dyDescent="0.25">
      <c r="AC914" s="33"/>
      <c r="AD914" s="33"/>
    </row>
    <row r="915" spans="29:30" x14ac:dyDescent="0.25">
      <c r="AC915" s="33"/>
      <c r="AD915" s="33"/>
    </row>
    <row r="916" spans="29:30" x14ac:dyDescent="0.25">
      <c r="AC916" s="33"/>
      <c r="AD916" s="33"/>
    </row>
    <row r="917" spans="29:30" x14ac:dyDescent="0.25">
      <c r="AC917" s="33"/>
      <c r="AD917" s="33"/>
    </row>
    <row r="918" spans="29:30" x14ac:dyDescent="0.25">
      <c r="AC918" s="33"/>
      <c r="AD918" s="33"/>
    </row>
    <row r="919" spans="29:30" x14ac:dyDescent="0.25">
      <c r="AC919" s="33"/>
      <c r="AD919" s="33"/>
    </row>
    <row r="920" spans="29:30" x14ac:dyDescent="0.25">
      <c r="AC920" s="33"/>
      <c r="AD920" s="33"/>
    </row>
    <row r="921" spans="29:30" x14ac:dyDescent="0.25">
      <c r="AC921" s="33"/>
      <c r="AD921" s="33"/>
    </row>
    <row r="922" spans="29:30" x14ac:dyDescent="0.25">
      <c r="AC922" s="33"/>
      <c r="AD922" s="33"/>
    </row>
    <row r="923" spans="29:30" x14ac:dyDescent="0.25">
      <c r="AC923" s="33"/>
      <c r="AD923" s="33"/>
    </row>
    <row r="924" spans="29:30" x14ac:dyDescent="0.25">
      <c r="AC924" s="33"/>
      <c r="AD924" s="33"/>
    </row>
    <row r="925" spans="29:30" x14ac:dyDescent="0.25">
      <c r="AC925" s="33"/>
      <c r="AD925" s="33"/>
    </row>
    <row r="926" spans="29:30" x14ac:dyDescent="0.25">
      <c r="AC926" s="33"/>
      <c r="AD926" s="33"/>
    </row>
    <row r="927" spans="29:30" x14ac:dyDescent="0.25">
      <c r="AC927" s="33"/>
      <c r="AD927" s="33"/>
    </row>
    <row r="928" spans="29:30" x14ac:dyDescent="0.25">
      <c r="AC928" s="33"/>
      <c r="AD928" s="33"/>
    </row>
    <row r="929" spans="29:30" x14ac:dyDescent="0.25">
      <c r="AC929" s="33"/>
      <c r="AD929" s="33"/>
    </row>
    <row r="930" spans="29:30" x14ac:dyDescent="0.25">
      <c r="AC930" s="33"/>
      <c r="AD930" s="33"/>
    </row>
    <row r="931" spans="29:30" x14ac:dyDescent="0.25">
      <c r="AC931" s="33"/>
      <c r="AD931" s="33"/>
    </row>
    <row r="932" spans="29:30" x14ac:dyDescent="0.25">
      <c r="AC932" s="33"/>
      <c r="AD932" s="33"/>
    </row>
    <row r="933" spans="29:30" x14ac:dyDescent="0.25">
      <c r="AC933" s="33"/>
      <c r="AD933" s="33"/>
    </row>
    <row r="934" spans="29:30" x14ac:dyDescent="0.25">
      <c r="AC934" s="33"/>
      <c r="AD934" s="33"/>
    </row>
    <row r="935" spans="29:30" x14ac:dyDescent="0.25">
      <c r="AC935" s="33"/>
      <c r="AD935" s="33"/>
    </row>
    <row r="936" spans="29:30" x14ac:dyDescent="0.25">
      <c r="AC936" s="33"/>
      <c r="AD936" s="33"/>
    </row>
    <row r="937" spans="29:30" x14ac:dyDescent="0.25">
      <c r="AC937" s="33"/>
      <c r="AD937" s="33"/>
    </row>
    <row r="938" spans="29:30" x14ac:dyDescent="0.25">
      <c r="AC938" s="33"/>
      <c r="AD938" s="33"/>
    </row>
    <row r="939" spans="29:30" x14ac:dyDescent="0.25">
      <c r="AC939" s="33"/>
      <c r="AD939" s="33"/>
    </row>
    <row r="940" spans="29:30" x14ac:dyDescent="0.25">
      <c r="AC940" s="33"/>
      <c r="AD940" s="33"/>
    </row>
    <row r="941" spans="29:30" x14ac:dyDescent="0.25">
      <c r="AC941" s="33"/>
      <c r="AD941" s="33"/>
    </row>
    <row r="942" spans="29:30" x14ac:dyDescent="0.25">
      <c r="AC942" s="33"/>
      <c r="AD942" s="33"/>
    </row>
    <row r="943" spans="29:30" x14ac:dyDescent="0.25">
      <c r="AC943" s="33"/>
      <c r="AD943" s="33"/>
    </row>
    <row r="944" spans="29:30" x14ac:dyDescent="0.25">
      <c r="AC944" s="33"/>
      <c r="AD944" s="33"/>
    </row>
    <row r="945" spans="29:30" x14ac:dyDescent="0.25">
      <c r="AC945" s="33"/>
      <c r="AD945" s="33"/>
    </row>
    <row r="946" spans="29:30" x14ac:dyDescent="0.25">
      <c r="AC946" s="33"/>
      <c r="AD946" s="33"/>
    </row>
    <row r="947" spans="29:30" x14ac:dyDescent="0.25">
      <c r="AC947" s="33"/>
      <c r="AD947" s="33"/>
    </row>
    <row r="948" spans="29:30" x14ac:dyDescent="0.25">
      <c r="AC948" s="33"/>
      <c r="AD948" s="33"/>
    </row>
    <row r="949" spans="29:30" x14ac:dyDescent="0.25">
      <c r="AC949" s="33"/>
      <c r="AD949" s="33"/>
    </row>
    <row r="950" spans="29:30" x14ac:dyDescent="0.25">
      <c r="AC950" s="33"/>
      <c r="AD950" s="33"/>
    </row>
    <row r="951" spans="29:30" x14ac:dyDescent="0.25">
      <c r="AC951" s="33"/>
      <c r="AD951" s="33"/>
    </row>
    <row r="952" spans="29:30" x14ac:dyDescent="0.25">
      <c r="AC952" s="33"/>
      <c r="AD952" s="33"/>
    </row>
    <row r="953" spans="29:30" x14ac:dyDescent="0.25">
      <c r="AC953" s="33"/>
      <c r="AD953" s="33"/>
    </row>
    <row r="954" spans="29:30" x14ac:dyDescent="0.25">
      <c r="AC954" s="33"/>
      <c r="AD954" s="33"/>
    </row>
    <row r="955" spans="29:30" x14ac:dyDescent="0.25">
      <c r="AC955" s="33"/>
      <c r="AD955" s="33"/>
    </row>
    <row r="956" spans="29:30" x14ac:dyDescent="0.25">
      <c r="AC956" s="33"/>
      <c r="AD956" s="33"/>
    </row>
    <row r="957" spans="29:30" x14ac:dyDescent="0.25">
      <c r="AC957" s="33"/>
      <c r="AD957" s="33"/>
    </row>
    <row r="958" spans="29:30" x14ac:dyDescent="0.25">
      <c r="AC958" s="33"/>
      <c r="AD958" s="33"/>
    </row>
    <row r="959" spans="29:30" x14ac:dyDescent="0.25">
      <c r="AC959" s="33"/>
      <c r="AD959" s="33"/>
    </row>
    <row r="960" spans="29:30" x14ac:dyDescent="0.25">
      <c r="AC960" s="33"/>
      <c r="AD960" s="33"/>
    </row>
    <row r="961" spans="29:30" x14ac:dyDescent="0.25">
      <c r="AC961" s="33"/>
      <c r="AD961" s="33"/>
    </row>
    <row r="962" spans="29:30" x14ac:dyDescent="0.25">
      <c r="AC962" s="33"/>
      <c r="AD962" s="33"/>
    </row>
    <row r="963" spans="29:30" x14ac:dyDescent="0.25">
      <c r="AC963" s="33"/>
      <c r="AD963" s="33"/>
    </row>
    <row r="964" spans="29:30" x14ac:dyDescent="0.25">
      <c r="AC964" s="33"/>
      <c r="AD964" s="33"/>
    </row>
    <row r="965" spans="29:30" x14ac:dyDescent="0.25">
      <c r="AC965" s="33"/>
      <c r="AD965" s="33"/>
    </row>
    <row r="966" spans="29:30" x14ac:dyDescent="0.25">
      <c r="AC966" s="33"/>
      <c r="AD966" s="33"/>
    </row>
    <row r="967" spans="29:30" x14ac:dyDescent="0.25">
      <c r="AC967" s="33"/>
      <c r="AD967" s="33"/>
    </row>
    <row r="968" spans="29:30" x14ac:dyDescent="0.25">
      <c r="AC968" s="33"/>
      <c r="AD968" s="33"/>
    </row>
    <row r="969" spans="29:30" x14ac:dyDescent="0.25">
      <c r="AC969" s="33"/>
      <c r="AD969" s="33"/>
    </row>
    <row r="970" spans="29:30" x14ac:dyDescent="0.25">
      <c r="AC970" s="33"/>
      <c r="AD970" s="33"/>
    </row>
    <row r="971" spans="29:30" x14ac:dyDescent="0.25">
      <c r="AC971" s="33"/>
      <c r="AD971" s="33"/>
    </row>
    <row r="972" spans="29:30" x14ac:dyDescent="0.25">
      <c r="AC972" s="33"/>
      <c r="AD972" s="33"/>
    </row>
    <row r="973" spans="29:30" x14ac:dyDescent="0.25">
      <c r="AC973" s="33"/>
      <c r="AD973" s="33"/>
    </row>
    <row r="974" spans="29:30" x14ac:dyDescent="0.25">
      <c r="AC974" s="33"/>
      <c r="AD974" s="33"/>
    </row>
    <row r="975" spans="29:30" x14ac:dyDescent="0.25">
      <c r="AC975" s="33"/>
      <c r="AD975" s="33"/>
    </row>
    <row r="976" spans="29:30" x14ac:dyDescent="0.25">
      <c r="AC976" s="33"/>
      <c r="AD976" s="33"/>
    </row>
    <row r="977" spans="29:30" x14ac:dyDescent="0.25">
      <c r="AC977" s="33"/>
      <c r="AD977" s="33"/>
    </row>
    <row r="978" spans="29:30" x14ac:dyDescent="0.25">
      <c r="AC978" s="33"/>
      <c r="AD978" s="33"/>
    </row>
    <row r="979" spans="29:30" x14ac:dyDescent="0.25">
      <c r="AC979" s="33"/>
      <c r="AD979" s="33"/>
    </row>
    <row r="980" spans="29:30" x14ac:dyDescent="0.25">
      <c r="AC980" s="33"/>
      <c r="AD980" s="33"/>
    </row>
    <row r="981" spans="29:30" x14ac:dyDescent="0.25">
      <c r="AC981" s="33"/>
      <c r="AD981" s="33"/>
    </row>
    <row r="982" spans="29:30" x14ac:dyDescent="0.25">
      <c r="AC982" s="33"/>
      <c r="AD982" s="33"/>
    </row>
    <row r="983" spans="29:30" x14ac:dyDescent="0.25">
      <c r="AC983" s="33"/>
      <c r="AD983" s="33"/>
    </row>
    <row r="984" spans="29:30" x14ac:dyDescent="0.25">
      <c r="AC984" s="33"/>
      <c r="AD984" s="33"/>
    </row>
    <row r="985" spans="29:30" x14ac:dyDescent="0.25">
      <c r="AC985" s="33"/>
      <c r="AD985" s="33"/>
    </row>
    <row r="986" spans="29:30" x14ac:dyDescent="0.25">
      <c r="AC986" s="33"/>
      <c r="AD986" s="33"/>
    </row>
    <row r="987" spans="29:30" x14ac:dyDescent="0.25">
      <c r="AC987" s="33"/>
      <c r="AD987" s="33"/>
    </row>
    <row r="988" spans="29:30" x14ac:dyDescent="0.25">
      <c r="AC988" s="33"/>
      <c r="AD988" s="33"/>
    </row>
    <row r="989" spans="29:30" x14ac:dyDescent="0.25">
      <c r="AC989" s="33"/>
      <c r="AD989" s="33"/>
    </row>
    <row r="990" spans="29:30" x14ac:dyDescent="0.25">
      <c r="AC990" s="33"/>
      <c r="AD990" s="33"/>
    </row>
    <row r="991" spans="29:30" x14ac:dyDescent="0.25">
      <c r="AC991" s="33"/>
      <c r="AD991" s="33"/>
    </row>
    <row r="992" spans="29:30" x14ac:dyDescent="0.25">
      <c r="AC992" s="33"/>
      <c r="AD992" s="33"/>
    </row>
    <row r="993" spans="29:30" x14ac:dyDescent="0.25">
      <c r="AC993" s="33"/>
      <c r="AD993" s="33"/>
    </row>
    <row r="994" spans="29:30" x14ac:dyDescent="0.25">
      <c r="AC994" s="33"/>
      <c r="AD994" s="33"/>
    </row>
    <row r="995" spans="29:30" x14ac:dyDescent="0.25">
      <c r="AC995" s="33"/>
      <c r="AD995" s="33"/>
    </row>
    <row r="996" spans="29:30" x14ac:dyDescent="0.25">
      <c r="AC996" s="33"/>
      <c r="AD996" s="33"/>
    </row>
    <row r="997" spans="29:30" x14ac:dyDescent="0.25">
      <c r="AC997" s="33"/>
      <c r="AD997" s="33"/>
    </row>
    <row r="998" spans="29:30" x14ac:dyDescent="0.25">
      <c r="AC998" s="33"/>
      <c r="AD998" s="33"/>
    </row>
  </sheetData>
  <sortState xmlns:xlrd2="http://schemas.microsoft.com/office/spreadsheetml/2017/richdata2" ref="A2:AF140">
    <sortCondition ref="A2:A140"/>
  </sortState>
  <phoneticPr fontId="3" type="noConversion"/>
  <conditionalFormatting sqref="AB1:AF8 AC9:AF11 AB9:AB139 E140:AF140 AB141:AB997">
    <cfRule type="cellIs" dxfId="0" priority="1" operator="lessThan">
      <formula>0</formula>
    </cfRule>
  </conditionalFormatting>
  <dataValidations count="1">
    <dataValidation type="custom" allowBlank="1" showDropDown="1" sqref="Y102:Y103 Y106:Y118 D125 O57:X139 D126:I139 Y125:Y139 D12:H32 Y57:Y99 AA12:AA139 I12:I125 O12:Y56 D33:D109 E33:H125" xr:uid="{8FCCCF8D-A982-4ECC-8B53-E3BEBA112740}">
      <formula1>AND(ISNUMBER(D12),(NOT(OR(NOT(ISERROR(DATEVALUE(D12))), AND(ISNUMBER(D12), LEFT(CELL("format", D12))="D")))))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92" activePane="bottomRight" state="frozen"/>
      <selection activeCell="B16" sqref="B16"/>
      <selection pane="topRight" activeCell="B16" sqref="B16"/>
      <selection pane="bottomLeft" activeCell="B16" sqref="B16"/>
      <selection pane="bottomRight" activeCell="C97" sqref="C97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91.140625" style="7" bestFit="1" customWidth="1"/>
    <col min="4" max="4" width="18.5703125" style="9" bestFit="1" customWidth="1"/>
    <col min="5" max="5" width="41.28515625" style="7" bestFit="1" customWidth="1"/>
    <col min="6" max="6" width="20.7109375" style="7" bestFit="1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36">
        <f>SUMIF(E1:E1000, "&lt;&gt;", D1:D1000)</f>
        <v>4405905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46278</v>
      </c>
      <c r="B2" s="7" t="s">
        <v>250</v>
      </c>
      <c r="C2" s="7" t="s">
        <v>300</v>
      </c>
      <c r="D2" s="9">
        <v>60000</v>
      </c>
      <c r="E2" s="7" t="s">
        <v>304</v>
      </c>
    </row>
    <row r="3" spans="1:24" x14ac:dyDescent="0.25">
      <c r="A3" s="8">
        <v>46277</v>
      </c>
      <c r="B3" s="7" t="s">
        <v>250</v>
      </c>
      <c r="C3" s="7" t="s">
        <v>295</v>
      </c>
      <c r="D3" s="9">
        <v>30000</v>
      </c>
      <c r="E3" s="7" t="s">
        <v>296</v>
      </c>
    </row>
    <row r="4" spans="1:24" x14ac:dyDescent="0.25">
      <c r="A4" s="8">
        <v>46265</v>
      </c>
      <c r="B4" s="7" t="s">
        <v>250</v>
      </c>
      <c r="C4" s="7" t="s">
        <v>259</v>
      </c>
      <c r="D4" s="9">
        <v>60000</v>
      </c>
      <c r="E4" s="7" t="s">
        <v>261</v>
      </c>
    </row>
    <row r="5" spans="1:24" x14ac:dyDescent="0.25">
      <c r="A5" s="8">
        <v>46280</v>
      </c>
      <c r="B5" s="7" t="s">
        <v>250</v>
      </c>
      <c r="C5" s="11" t="s">
        <v>320</v>
      </c>
      <c r="D5" s="12">
        <v>40000</v>
      </c>
      <c r="E5" s="11" t="s">
        <v>366</v>
      </c>
      <c r="H5" s="9"/>
    </row>
    <row r="6" spans="1:24" x14ac:dyDescent="0.25">
      <c r="A6" s="8">
        <v>46282</v>
      </c>
      <c r="B6" s="7" t="s">
        <v>250</v>
      </c>
      <c r="C6" s="7" t="s">
        <v>320</v>
      </c>
      <c r="D6" s="9">
        <v>50000</v>
      </c>
      <c r="E6" s="7" t="s">
        <v>366</v>
      </c>
    </row>
    <row r="7" spans="1:24" x14ac:dyDescent="0.25">
      <c r="A7" s="8">
        <v>46286</v>
      </c>
      <c r="B7" s="7" t="s">
        <v>250</v>
      </c>
      <c r="C7" s="7" t="s">
        <v>320</v>
      </c>
      <c r="D7" s="9">
        <v>29000</v>
      </c>
      <c r="E7" s="7" t="s">
        <v>366</v>
      </c>
    </row>
    <row r="8" spans="1:24" x14ac:dyDescent="0.25">
      <c r="A8" s="8">
        <v>46286</v>
      </c>
      <c r="B8" s="7" t="s">
        <v>250</v>
      </c>
      <c r="C8" s="7" t="s">
        <v>373</v>
      </c>
      <c r="D8" s="9">
        <v>50000</v>
      </c>
      <c r="E8" s="7" t="s">
        <v>380</v>
      </c>
    </row>
    <row r="9" spans="1:24" x14ac:dyDescent="0.25">
      <c r="A9" s="8">
        <v>46268</v>
      </c>
      <c r="B9" s="7" t="s">
        <v>250</v>
      </c>
      <c r="C9" s="7" t="s">
        <v>265</v>
      </c>
      <c r="D9" s="9">
        <v>42140</v>
      </c>
      <c r="E9" s="7" t="s">
        <v>266</v>
      </c>
    </row>
    <row r="10" spans="1:24" x14ac:dyDescent="0.25">
      <c r="A10" s="8">
        <v>46280</v>
      </c>
      <c r="B10" s="7" t="s">
        <v>250</v>
      </c>
      <c r="C10" s="7" t="s">
        <v>337</v>
      </c>
      <c r="D10" s="9">
        <v>80000</v>
      </c>
      <c r="E10" s="7" t="s">
        <v>338</v>
      </c>
      <c r="F10" s="11"/>
    </row>
    <row r="11" spans="1:24" x14ac:dyDescent="0.25">
      <c r="A11" s="8">
        <v>46280</v>
      </c>
      <c r="B11" s="7" t="s">
        <v>250</v>
      </c>
      <c r="C11" s="7" t="s">
        <v>318</v>
      </c>
      <c r="D11" s="9">
        <v>120210</v>
      </c>
      <c r="E11" s="7" t="s">
        <v>336</v>
      </c>
    </row>
    <row r="12" spans="1:24" x14ac:dyDescent="0.25">
      <c r="A12" s="8">
        <v>46255</v>
      </c>
      <c r="B12" s="7" t="s">
        <v>250</v>
      </c>
      <c r="C12" s="7" t="s">
        <v>253</v>
      </c>
      <c r="D12" s="9">
        <v>43000</v>
      </c>
      <c r="E12" s="7" t="s">
        <v>254</v>
      </c>
    </row>
    <row r="13" spans="1:24" s="8" customFormat="1" x14ac:dyDescent="0.25">
      <c r="A13" s="8">
        <v>46262</v>
      </c>
      <c r="B13" s="7" t="s">
        <v>250</v>
      </c>
      <c r="C13" s="7" t="s">
        <v>253</v>
      </c>
      <c r="D13" s="9">
        <v>33000</v>
      </c>
      <c r="E13" s="7" t="s">
        <v>254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46262</v>
      </c>
      <c r="B14" s="7" t="s">
        <v>250</v>
      </c>
      <c r="C14" s="7" t="s">
        <v>253</v>
      </c>
      <c r="D14" s="9">
        <v>615</v>
      </c>
      <c r="E14" s="7" t="s">
        <v>254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46263</v>
      </c>
      <c r="B15" s="7" t="s">
        <v>250</v>
      </c>
      <c r="C15" s="7" t="s">
        <v>253</v>
      </c>
      <c r="D15" s="9">
        <v>18000</v>
      </c>
      <c r="E15" s="7" t="s">
        <v>254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8">
        <v>46278</v>
      </c>
      <c r="B16" s="7" t="s">
        <v>250</v>
      </c>
      <c r="C16" s="7" t="s">
        <v>305</v>
      </c>
      <c r="D16" s="9">
        <v>30000</v>
      </c>
      <c r="E16" s="7" t="s">
        <v>254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46279</v>
      </c>
      <c r="B17" s="7" t="s">
        <v>250</v>
      </c>
      <c r="C17" s="7" t="s">
        <v>305</v>
      </c>
      <c r="D17" s="9">
        <v>8000</v>
      </c>
      <c r="E17" s="7" t="s">
        <v>254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46280</v>
      </c>
      <c r="B18" s="7" t="s">
        <v>250</v>
      </c>
      <c r="C18" s="7" t="s">
        <v>305</v>
      </c>
      <c r="D18" s="9">
        <v>20000</v>
      </c>
      <c r="E18" s="7" t="s">
        <v>254</v>
      </c>
      <c r="F18" s="11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46295</v>
      </c>
      <c r="B19" s="7" t="s">
        <v>250</v>
      </c>
      <c r="C19" s="7" t="s">
        <v>305</v>
      </c>
      <c r="D19" s="9">
        <v>48000</v>
      </c>
      <c r="E19" s="7" t="s">
        <v>254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8">
        <v>46278</v>
      </c>
      <c r="B20" s="7" t="s">
        <v>270</v>
      </c>
      <c r="C20" s="7" t="s">
        <v>301</v>
      </c>
      <c r="D20" s="9">
        <v>62230</v>
      </c>
      <c r="E20" s="7" t="s">
        <v>303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8">
        <v>46271</v>
      </c>
      <c r="B21" s="7" t="s">
        <v>250</v>
      </c>
      <c r="C21" s="7" t="s">
        <v>267</v>
      </c>
      <c r="D21" s="9">
        <v>60000</v>
      </c>
      <c r="E21" s="7" t="s">
        <v>268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A22" s="8">
        <v>46286</v>
      </c>
      <c r="B22" s="7" t="s">
        <v>250</v>
      </c>
      <c r="C22" s="7" t="s">
        <v>376</v>
      </c>
      <c r="D22" s="9">
        <v>27000</v>
      </c>
      <c r="E22" s="7" t="s">
        <v>379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A23" s="8">
        <v>46286</v>
      </c>
      <c r="B23" s="7" t="s">
        <v>270</v>
      </c>
      <c r="C23" s="7" t="s">
        <v>377</v>
      </c>
      <c r="D23" s="9">
        <v>16140</v>
      </c>
      <c r="E23" s="7" t="s">
        <v>379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A24" s="8">
        <v>46280</v>
      </c>
      <c r="B24" s="7" t="s">
        <v>250</v>
      </c>
      <c r="C24" s="7" t="s">
        <v>321</v>
      </c>
      <c r="D24" s="9">
        <v>40000</v>
      </c>
      <c r="E24" s="7" t="s">
        <v>327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A25" s="8">
        <v>46278</v>
      </c>
      <c r="B25" s="7" t="s">
        <v>270</v>
      </c>
      <c r="C25" s="7" t="s">
        <v>306</v>
      </c>
      <c r="D25" s="9">
        <v>43140</v>
      </c>
      <c r="E25" s="7" t="s">
        <v>307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A26" s="8">
        <v>46280</v>
      </c>
      <c r="B26" s="7" t="s">
        <v>250</v>
      </c>
      <c r="C26" s="7" t="s">
        <v>319</v>
      </c>
      <c r="D26" s="9">
        <v>60000</v>
      </c>
      <c r="E26" s="7" t="s">
        <v>333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A27" s="8">
        <v>46265</v>
      </c>
      <c r="B27" s="7" t="s">
        <v>250</v>
      </c>
      <c r="C27" s="7" t="s">
        <v>260</v>
      </c>
      <c r="D27" s="9">
        <v>50430</v>
      </c>
      <c r="E27" s="7" t="s">
        <v>262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A28" s="8">
        <v>46276</v>
      </c>
      <c r="B28" s="7" t="s">
        <v>250</v>
      </c>
      <c r="C28" s="7" t="s">
        <v>291</v>
      </c>
      <c r="D28" s="9">
        <v>28000</v>
      </c>
      <c r="E28" s="7" t="s">
        <v>298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A29" s="8">
        <v>46280</v>
      </c>
      <c r="B29" s="7" t="s">
        <v>250</v>
      </c>
      <c r="C29" s="7" t="s">
        <v>291</v>
      </c>
      <c r="D29" s="9">
        <v>15140</v>
      </c>
      <c r="E29" s="7" t="s">
        <v>298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A30" s="8">
        <v>46283</v>
      </c>
      <c r="B30" s="7" t="s">
        <v>250</v>
      </c>
      <c r="C30" s="7" t="s">
        <v>365</v>
      </c>
      <c r="D30" s="9">
        <v>50000</v>
      </c>
      <c r="E30" s="7" t="s">
        <v>401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A31" s="8">
        <v>46287</v>
      </c>
      <c r="B31" s="7" t="s">
        <v>250</v>
      </c>
      <c r="C31" s="7" t="s">
        <v>431</v>
      </c>
      <c r="D31" s="9">
        <v>30000</v>
      </c>
      <c r="E31" s="7" t="s">
        <v>399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A32" s="8">
        <v>46278</v>
      </c>
      <c r="B32" s="7" t="s">
        <v>250</v>
      </c>
      <c r="C32" s="7" t="s">
        <v>299</v>
      </c>
      <c r="D32" s="9">
        <v>50000</v>
      </c>
      <c r="E32" s="7" t="s">
        <v>302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A33" s="8">
        <v>46270</v>
      </c>
      <c r="B33" s="7" t="s">
        <v>270</v>
      </c>
      <c r="C33" s="7" t="s">
        <v>269</v>
      </c>
      <c r="D33" s="9">
        <v>79020</v>
      </c>
      <c r="E33" s="7" t="s">
        <v>275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A34" s="8">
        <v>46238</v>
      </c>
      <c r="B34" s="7" t="s">
        <v>250</v>
      </c>
      <c r="C34" s="7" t="s">
        <v>249</v>
      </c>
      <c r="D34" s="9">
        <v>48000</v>
      </c>
      <c r="E34" s="7" t="s">
        <v>251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A35" s="8">
        <v>46282</v>
      </c>
      <c r="B35" s="7" t="s">
        <v>250</v>
      </c>
      <c r="C35" s="7" t="s">
        <v>249</v>
      </c>
      <c r="D35" s="9">
        <v>35180</v>
      </c>
      <c r="E35" s="7" t="s">
        <v>251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A36" s="8">
        <v>46270</v>
      </c>
      <c r="B36" s="7" t="s">
        <v>270</v>
      </c>
      <c r="C36" s="7" t="s">
        <v>271</v>
      </c>
      <c r="D36" s="9">
        <v>42350</v>
      </c>
      <c r="E36" s="7" t="s">
        <v>274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A37" s="8">
        <v>46282</v>
      </c>
      <c r="B37" s="7" t="s">
        <v>270</v>
      </c>
      <c r="C37" s="7" t="s">
        <v>271</v>
      </c>
      <c r="D37" s="9">
        <v>40000</v>
      </c>
      <c r="E37" s="7" t="s">
        <v>274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A38" s="8">
        <v>46279</v>
      </c>
      <c r="B38" s="7" t="s">
        <v>250</v>
      </c>
      <c r="C38" s="7" t="s">
        <v>310</v>
      </c>
      <c r="D38" s="9">
        <v>100000</v>
      </c>
      <c r="E38" s="7" t="s">
        <v>418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A39" s="8">
        <v>46280</v>
      </c>
      <c r="B39" s="7" t="s">
        <v>250</v>
      </c>
      <c r="C39" s="11" t="s">
        <v>323</v>
      </c>
      <c r="D39" s="12">
        <v>40000</v>
      </c>
      <c r="E39" s="11" t="s">
        <v>328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A40" s="8">
        <v>46289</v>
      </c>
      <c r="B40" s="7" t="s">
        <v>250</v>
      </c>
      <c r="C40" s="7" t="s">
        <v>323</v>
      </c>
      <c r="D40" s="9">
        <v>88000</v>
      </c>
      <c r="E40" s="7" t="s">
        <v>328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8">
        <v>46273</v>
      </c>
      <c r="B41" s="7" t="s">
        <v>250</v>
      </c>
      <c r="C41" s="7" t="s">
        <v>277</v>
      </c>
      <c r="D41" s="9">
        <v>33000</v>
      </c>
      <c r="E41" s="7" t="s">
        <v>282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A42" s="8">
        <v>46273</v>
      </c>
      <c r="B42" s="7" t="s">
        <v>270</v>
      </c>
      <c r="C42" s="7" t="s">
        <v>278</v>
      </c>
      <c r="D42" s="9">
        <v>6840</v>
      </c>
      <c r="E42" s="7" t="s">
        <v>282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A43" s="8">
        <v>46281</v>
      </c>
      <c r="B43" s="7" t="s">
        <v>270</v>
      </c>
      <c r="C43" s="7" t="s">
        <v>278</v>
      </c>
      <c r="D43" s="9">
        <v>5300</v>
      </c>
      <c r="E43" s="7" t="s">
        <v>282</v>
      </c>
      <c r="F43" s="11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A44" s="8">
        <v>46281</v>
      </c>
      <c r="B44" s="7" t="s">
        <v>270</v>
      </c>
      <c r="C44" s="7" t="s">
        <v>278</v>
      </c>
      <c r="D44" s="9">
        <v>5300</v>
      </c>
      <c r="E44" s="7" t="s">
        <v>282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8">
        <v>46273</v>
      </c>
      <c r="B45" s="7" t="s">
        <v>270</v>
      </c>
      <c r="C45" s="7" t="s">
        <v>279</v>
      </c>
      <c r="D45" s="9">
        <v>200000</v>
      </c>
      <c r="E45" s="7" t="s">
        <v>281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A46" s="8">
        <v>46286</v>
      </c>
      <c r="B46" s="7" t="s">
        <v>270</v>
      </c>
      <c r="C46" s="7" t="s">
        <v>378</v>
      </c>
      <c r="D46" s="9">
        <v>56930</v>
      </c>
      <c r="E46" s="7" t="s">
        <v>384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A47" s="8">
        <v>46264</v>
      </c>
      <c r="B47" s="7" t="s">
        <v>250</v>
      </c>
      <c r="C47" s="7" t="s">
        <v>256</v>
      </c>
      <c r="D47" s="9">
        <v>51930</v>
      </c>
      <c r="E47" s="7" t="s">
        <v>257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8">
        <v>46279</v>
      </c>
      <c r="B48" s="7" t="s">
        <v>270</v>
      </c>
      <c r="C48" s="7" t="s">
        <v>312</v>
      </c>
      <c r="D48" s="9">
        <v>25000</v>
      </c>
      <c r="E48" s="7" t="s">
        <v>313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>
        <v>46280</v>
      </c>
      <c r="B49" s="7" t="s">
        <v>250</v>
      </c>
      <c r="C49" s="7" t="s">
        <v>342</v>
      </c>
      <c r="D49" s="9">
        <v>50000</v>
      </c>
      <c r="E49" s="7" t="s">
        <v>343</v>
      </c>
      <c r="F49" s="7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>
        <v>46288</v>
      </c>
      <c r="B50" s="7" t="s">
        <v>250</v>
      </c>
      <c r="C50" s="7" t="s">
        <v>395</v>
      </c>
      <c r="D50" s="9">
        <v>100000</v>
      </c>
      <c r="E50" s="7" t="s">
        <v>398</v>
      </c>
      <c r="F50" s="7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>
        <v>46280</v>
      </c>
      <c r="B51" s="7" t="s">
        <v>250</v>
      </c>
      <c r="C51" s="7" t="s">
        <v>314</v>
      </c>
      <c r="D51" s="9">
        <v>30000</v>
      </c>
      <c r="E51" s="7" t="s">
        <v>369</v>
      </c>
      <c r="F51" s="7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>
        <v>46294</v>
      </c>
      <c r="B52" s="7" t="s">
        <v>250</v>
      </c>
      <c r="C52" s="7" t="s">
        <v>422</v>
      </c>
      <c r="D52" s="9">
        <v>40000</v>
      </c>
      <c r="E52" s="7" t="s">
        <v>369</v>
      </c>
      <c r="F52" s="7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>
        <v>46280</v>
      </c>
      <c r="B53" s="7" t="s">
        <v>250</v>
      </c>
      <c r="C53" s="11" t="s">
        <v>316</v>
      </c>
      <c r="D53" s="12">
        <v>10000</v>
      </c>
      <c r="E53" s="11" t="s">
        <v>419</v>
      </c>
      <c r="F53" s="7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A54" s="8">
        <v>46281</v>
      </c>
      <c r="B54" s="7" t="s">
        <v>250</v>
      </c>
      <c r="C54" s="7" t="s">
        <v>316</v>
      </c>
      <c r="D54" s="9">
        <v>10000</v>
      </c>
      <c r="E54" s="7" t="s">
        <v>419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A55" s="8">
        <v>46296</v>
      </c>
      <c r="B55" s="7" t="s">
        <v>270</v>
      </c>
      <c r="C55" s="7" t="s">
        <v>428</v>
      </c>
      <c r="D55" s="9">
        <v>40000</v>
      </c>
      <c r="E55" s="7" t="s">
        <v>430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A56" s="10">
        <v>46271</v>
      </c>
      <c r="B56" s="11" t="s">
        <v>250</v>
      </c>
      <c r="C56" s="11" t="s">
        <v>276</v>
      </c>
      <c r="D56" s="12">
        <v>20000</v>
      </c>
      <c r="E56" s="11" t="s">
        <v>283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A57" s="8">
        <v>46278</v>
      </c>
      <c r="B57" s="7" t="s">
        <v>250</v>
      </c>
      <c r="C57" s="7" t="s">
        <v>276</v>
      </c>
      <c r="D57" s="9">
        <v>9640</v>
      </c>
      <c r="E57" s="7" t="s">
        <v>283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A58" s="8">
        <v>46292</v>
      </c>
      <c r="B58" s="7" t="s">
        <v>250</v>
      </c>
      <c r="C58" s="7" t="s">
        <v>409</v>
      </c>
      <c r="D58" s="9">
        <v>50000</v>
      </c>
      <c r="E58" s="7" t="s">
        <v>413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A59" s="8">
        <v>46280</v>
      </c>
      <c r="B59" s="7" t="s">
        <v>250</v>
      </c>
      <c r="C59" s="7" t="s">
        <v>339</v>
      </c>
      <c r="D59" s="9">
        <v>65160</v>
      </c>
      <c r="E59" s="7" t="s">
        <v>340</v>
      </c>
      <c r="F59" s="11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A60" s="8">
        <v>46280</v>
      </c>
      <c r="B60" s="7" t="s">
        <v>250</v>
      </c>
      <c r="C60" s="7" t="s">
        <v>339</v>
      </c>
      <c r="D60" s="9">
        <v>35890</v>
      </c>
      <c r="E60" s="7" t="s">
        <v>341</v>
      </c>
      <c r="F60" s="11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A61" s="8">
        <v>46280</v>
      </c>
      <c r="B61" s="7" t="s">
        <v>250</v>
      </c>
      <c r="C61" s="7" t="s">
        <v>344</v>
      </c>
      <c r="D61" s="9">
        <v>50000</v>
      </c>
      <c r="E61" s="7" t="s">
        <v>347</v>
      </c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A62" s="8">
        <v>46279</v>
      </c>
      <c r="B62" s="7" t="s">
        <v>250</v>
      </c>
      <c r="C62" s="7" t="s">
        <v>308</v>
      </c>
      <c r="D62" s="9">
        <v>116000</v>
      </c>
      <c r="E62" s="7" t="s">
        <v>363</v>
      </c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A63" s="8">
        <v>46287</v>
      </c>
      <c r="B63" s="7" t="s">
        <v>250</v>
      </c>
      <c r="C63" s="7" t="s">
        <v>393</v>
      </c>
      <c r="D63" s="9">
        <v>22000</v>
      </c>
      <c r="E63" s="7" t="s">
        <v>402</v>
      </c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A64" s="8">
        <v>46294</v>
      </c>
      <c r="B64" s="7" t="s">
        <v>250</v>
      </c>
      <c r="C64" s="7" t="s">
        <v>421</v>
      </c>
      <c r="D64" s="9">
        <v>65000</v>
      </c>
      <c r="E64" s="7" t="s">
        <v>402</v>
      </c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1:24" s="8" customFormat="1" x14ac:dyDescent="0.25">
      <c r="A65" s="8">
        <v>46284</v>
      </c>
      <c r="B65" s="7" t="s">
        <v>250</v>
      </c>
      <c r="C65" s="7" t="s">
        <v>370</v>
      </c>
      <c r="D65" s="9">
        <v>50000</v>
      </c>
      <c r="E65" s="7" t="s">
        <v>382</v>
      </c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1:24" s="8" customFormat="1" x14ac:dyDescent="0.25">
      <c r="A66" s="8">
        <v>46285</v>
      </c>
      <c r="B66" s="7" t="s">
        <v>250</v>
      </c>
      <c r="C66" s="7" t="s">
        <v>370</v>
      </c>
      <c r="D66" s="9">
        <v>50000</v>
      </c>
      <c r="E66" s="7" t="s">
        <v>382</v>
      </c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1:24" s="8" customFormat="1" x14ac:dyDescent="0.25">
      <c r="A67" s="8">
        <v>46286</v>
      </c>
      <c r="B67" s="7" t="s">
        <v>250</v>
      </c>
      <c r="C67" s="7" t="s">
        <v>372</v>
      </c>
      <c r="D67" s="9">
        <v>90000</v>
      </c>
      <c r="E67" s="7" t="s">
        <v>407</v>
      </c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1:24" s="8" customFormat="1" x14ac:dyDescent="0.25">
      <c r="A68" s="8">
        <v>46286</v>
      </c>
      <c r="B68" s="7" t="s">
        <v>250</v>
      </c>
      <c r="C68" s="7" t="s">
        <v>375</v>
      </c>
      <c r="D68" s="9">
        <v>50000</v>
      </c>
      <c r="E68" s="7" t="s">
        <v>381</v>
      </c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1:24" s="8" customFormat="1" x14ac:dyDescent="0.25">
      <c r="A69" s="8">
        <v>46277</v>
      </c>
      <c r="B69" s="7" t="s">
        <v>250</v>
      </c>
      <c r="C69" s="7" t="s">
        <v>292</v>
      </c>
      <c r="D69" s="9">
        <v>95000</v>
      </c>
      <c r="E69" s="7" t="s">
        <v>293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1:24" s="8" customFormat="1" x14ac:dyDescent="0.25">
      <c r="A70" s="8">
        <v>46293</v>
      </c>
      <c r="B70" s="7" t="s">
        <v>250</v>
      </c>
      <c r="C70" s="7" t="s">
        <v>411</v>
      </c>
      <c r="D70" s="9">
        <v>80000</v>
      </c>
      <c r="E70" s="7" t="s">
        <v>415</v>
      </c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1:24" s="8" customFormat="1" x14ac:dyDescent="0.25">
      <c r="A71" s="8">
        <v>46280</v>
      </c>
      <c r="B71" s="7" t="s">
        <v>250</v>
      </c>
      <c r="C71" s="7" t="s">
        <v>322</v>
      </c>
      <c r="D71" s="9">
        <v>27900</v>
      </c>
      <c r="E71" s="7" t="s">
        <v>324</v>
      </c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1:24" s="8" customFormat="1" x14ac:dyDescent="0.25">
      <c r="A72" s="8">
        <v>46288</v>
      </c>
      <c r="B72" s="7" t="s">
        <v>250</v>
      </c>
      <c r="C72" s="7" t="s">
        <v>394</v>
      </c>
      <c r="D72" s="9">
        <v>40000</v>
      </c>
      <c r="E72" s="7" t="s">
        <v>420</v>
      </c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1:24" s="8" customFormat="1" x14ac:dyDescent="0.25">
      <c r="A73" s="8">
        <v>46275</v>
      </c>
      <c r="B73" s="7" t="s">
        <v>250</v>
      </c>
      <c r="C73" s="7" t="s">
        <v>286</v>
      </c>
      <c r="D73" s="9">
        <v>24700</v>
      </c>
      <c r="E73" s="7" t="s">
        <v>287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1:24" s="8" customFormat="1" x14ac:dyDescent="0.25">
      <c r="A74" s="8">
        <v>46279</v>
      </c>
      <c r="B74" s="7" t="s">
        <v>250</v>
      </c>
      <c r="C74" s="7" t="s">
        <v>286</v>
      </c>
      <c r="D74" s="9">
        <v>20000</v>
      </c>
      <c r="E74" s="7" t="s">
        <v>287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1:24" s="8" customFormat="1" x14ac:dyDescent="0.25">
      <c r="A75" s="8">
        <v>46294</v>
      </c>
      <c r="B75" s="7" t="s">
        <v>250</v>
      </c>
      <c r="C75" s="7" t="s">
        <v>424</v>
      </c>
      <c r="D75" s="9">
        <v>140000</v>
      </c>
      <c r="E75" s="7" t="s">
        <v>426</v>
      </c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1:24" s="8" customFormat="1" x14ac:dyDescent="0.25">
      <c r="A76" s="8">
        <v>46293</v>
      </c>
      <c r="B76" s="7" t="s">
        <v>250</v>
      </c>
      <c r="C76" s="7" t="s">
        <v>295</v>
      </c>
      <c r="D76" s="9">
        <v>30000</v>
      </c>
      <c r="E76" s="7" t="s">
        <v>414</v>
      </c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1:24" s="8" customFormat="1" x14ac:dyDescent="0.25">
      <c r="A77" s="8">
        <v>46288</v>
      </c>
      <c r="B77" s="7" t="s">
        <v>250</v>
      </c>
      <c r="C77" s="7" t="s">
        <v>396</v>
      </c>
      <c r="D77" s="9">
        <v>124270</v>
      </c>
      <c r="E77" s="7" t="s">
        <v>397</v>
      </c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1:24" s="8" customFormat="1" x14ac:dyDescent="0.25">
      <c r="A78" s="10">
        <v>46275</v>
      </c>
      <c r="B78" s="11" t="s">
        <v>250</v>
      </c>
      <c r="C78" s="11" t="s">
        <v>285</v>
      </c>
      <c r="D78" s="12">
        <v>33140</v>
      </c>
      <c r="E78" s="11" t="s">
        <v>284</v>
      </c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1:24" s="8" customFormat="1" x14ac:dyDescent="0.25">
      <c r="A79" s="8">
        <v>46295</v>
      </c>
      <c r="B79" s="7" t="s">
        <v>250</v>
      </c>
      <c r="C79" s="7" t="s">
        <v>427</v>
      </c>
      <c r="D79" s="9">
        <v>45000</v>
      </c>
      <c r="E79" s="7" t="s">
        <v>429</v>
      </c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1:24" s="8" customFormat="1" x14ac:dyDescent="0.25">
      <c r="A80" s="8">
        <v>46286</v>
      </c>
      <c r="B80" s="7" t="s">
        <v>250</v>
      </c>
      <c r="C80" s="7" t="s">
        <v>374</v>
      </c>
      <c r="D80" s="9">
        <v>80000</v>
      </c>
      <c r="E80" s="7" t="s">
        <v>400</v>
      </c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1:24" s="8" customFormat="1" x14ac:dyDescent="0.25">
      <c r="A81" s="8">
        <v>46292</v>
      </c>
      <c r="B81" s="7" t="s">
        <v>250</v>
      </c>
      <c r="C81" s="7" t="s">
        <v>408</v>
      </c>
      <c r="D81" s="9">
        <v>30000</v>
      </c>
      <c r="E81" s="7" t="s">
        <v>412</v>
      </c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1:24" s="8" customFormat="1" x14ac:dyDescent="0.25">
      <c r="A82" s="8">
        <v>46290</v>
      </c>
      <c r="B82" s="7" t="s">
        <v>270</v>
      </c>
      <c r="C82" s="7" t="s">
        <v>403</v>
      </c>
      <c r="D82" s="9">
        <v>54240</v>
      </c>
      <c r="E82" s="7" t="s">
        <v>404</v>
      </c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1:24" s="8" customFormat="1" x14ac:dyDescent="0.25">
      <c r="A83" s="8">
        <v>46279</v>
      </c>
      <c r="B83" s="7" t="s">
        <v>250</v>
      </c>
      <c r="C83" s="7" t="s">
        <v>309</v>
      </c>
      <c r="D83" s="9">
        <v>36050</v>
      </c>
      <c r="E83" s="7" t="s">
        <v>417</v>
      </c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1:24" s="8" customFormat="1" x14ac:dyDescent="0.25">
      <c r="A84" s="8">
        <v>46270</v>
      </c>
      <c r="B84" s="7" t="s">
        <v>270</v>
      </c>
      <c r="C84" s="7" t="s">
        <v>272</v>
      </c>
      <c r="D84" s="9">
        <v>50000</v>
      </c>
      <c r="E84" s="7" t="s">
        <v>273</v>
      </c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1:24" s="8" customFormat="1" x14ac:dyDescent="0.25">
      <c r="A85" s="8">
        <v>46280</v>
      </c>
      <c r="B85" s="7" t="s">
        <v>250</v>
      </c>
      <c r="C85" s="7" t="s">
        <v>315</v>
      </c>
      <c r="D85" s="9">
        <v>100000</v>
      </c>
      <c r="E85" s="7" t="s">
        <v>329</v>
      </c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1:24" s="8" customFormat="1" x14ac:dyDescent="0.25">
      <c r="A86" s="8">
        <v>46285</v>
      </c>
      <c r="B86" s="7" t="s">
        <v>250</v>
      </c>
      <c r="C86" s="7" t="s">
        <v>371</v>
      </c>
      <c r="D86" s="9">
        <v>50000</v>
      </c>
      <c r="E86" s="7" t="s">
        <v>383</v>
      </c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1:24" s="8" customFormat="1" x14ac:dyDescent="0.25">
      <c r="A87" s="8">
        <v>46277</v>
      </c>
      <c r="B87" s="7" t="s">
        <v>250</v>
      </c>
      <c r="C87" s="7" t="s">
        <v>294</v>
      </c>
      <c r="D87" s="9">
        <v>10000</v>
      </c>
      <c r="E87" s="7" t="s">
        <v>297</v>
      </c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1:24" s="8" customFormat="1" x14ac:dyDescent="0.25">
      <c r="A88" s="8">
        <v>46280</v>
      </c>
      <c r="B88" s="7" t="s">
        <v>250</v>
      </c>
      <c r="C88" s="7" t="s">
        <v>317</v>
      </c>
      <c r="D88" s="9">
        <v>44140</v>
      </c>
      <c r="E88" s="7" t="s">
        <v>348</v>
      </c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1:24" s="8" customFormat="1" x14ac:dyDescent="0.25">
      <c r="A89" s="8">
        <v>46294</v>
      </c>
      <c r="B89" s="7" t="s">
        <v>250</v>
      </c>
      <c r="C89" s="7" t="s">
        <v>423</v>
      </c>
      <c r="D89" s="9">
        <v>40000</v>
      </c>
      <c r="E89" s="7" t="s">
        <v>425</v>
      </c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1:24" s="8" customFormat="1" x14ac:dyDescent="0.25">
      <c r="A90" s="8">
        <v>46293</v>
      </c>
      <c r="B90" s="7" t="s">
        <v>250</v>
      </c>
      <c r="C90" s="7" t="s">
        <v>410</v>
      </c>
      <c r="D90" s="9">
        <v>50000</v>
      </c>
      <c r="E90" s="7" t="s">
        <v>416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1:24" s="8" customFormat="1" x14ac:dyDescent="0.25">
      <c r="A91" s="8">
        <v>46266</v>
      </c>
      <c r="B91" s="7" t="s">
        <v>250</v>
      </c>
      <c r="C91" s="7" t="s">
        <v>263</v>
      </c>
      <c r="D91" s="9">
        <v>50000</v>
      </c>
      <c r="E91" s="7" t="s">
        <v>264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1:24" s="8" customFormat="1" x14ac:dyDescent="0.25">
      <c r="A92" s="8">
        <v>46281</v>
      </c>
      <c r="B92" s="7" t="s">
        <v>250</v>
      </c>
      <c r="C92" s="7" t="s">
        <v>345</v>
      </c>
      <c r="D92" s="9">
        <v>20000</v>
      </c>
      <c r="E92" s="7" t="s">
        <v>346</v>
      </c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1:24" s="8" customFormat="1" x14ac:dyDescent="0.25">
      <c r="A93" s="8">
        <v>46286</v>
      </c>
      <c r="B93" s="7" t="s">
        <v>250</v>
      </c>
      <c r="C93" s="7" t="s">
        <v>345</v>
      </c>
      <c r="D93" s="9">
        <v>10000</v>
      </c>
      <c r="E93" s="7" t="s">
        <v>346</v>
      </c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1:24" s="8" customFormat="1" x14ac:dyDescent="0.25">
      <c r="A94" s="8">
        <v>46290</v>
      </c>
      <c r="B94" s="7" t="s">
        <v>250</v>
      </c>
      <c r="C94" s="7" t="s">
        <v>345</v>
      </c>
      <c r="D94" s="9">
        <v>16880</v>
      </c>
      <c r="E94" s="7" t="s">
        <v>346</v>
      </c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1:24" s="8" customFormat="1" x14ac:dyDescent="0.25">
      <c r="A95" s="8">
        <v>46279</v>
      </c>
      <c r="B95" s="7" t="s">
        <v>270</v>
      </c>
      <c r="C95" s="7" t="s">
        <v>311</v>
      </c>
      <c r="D95" s="9">
        <v>20180</v>
      </c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1:24" s="8" customFormat="1" x14ac:dyDescent="0.25">
      <c r="A96" s="8">
        <v>46282</v>
      </c>
      <c r="B96" s="7" t="s">
        <v>250</v>
      </c>
      <c r="C96" s="7" t="s">
        <v>364</v>
      </c>
      <c r="D96" s="9">
        <v>40000</v>
      </c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F96">
    <sortCondition ref="E2:E96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tabSelected="1"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ACCOUNT'!AC140</f>
        <v>54000</v>
      </c>
      <c r="C2" s="15">
        <f>B2*0.7</f>
        <v>37800</v>
      </c>
      <c r="D2" s="15"/>
      <c r="E2" s="16"/>
      <c r="F2" s="15">
        <f>$C$2-D2</f>
        <v>37800</v>
      </c>
    </row>
    <row r="3" spans="1:8" x14ac:dyDescent="0.25">
      <c r="A3" s="4" t="s">
        <v>229</v>
      </c>
      <c r="B3" s="15">
        <f>SUMIF('1ST TERM ACCOUNT'!T12:T139,6000)</f>
        <v>192000</v>
      </c>
      <c r="C3" s="15"/>
      <c r="D3" s="15"/>
      <c r="E3" s="16"/>
      <c r="F3" s="15">
        <f>$C$2-(D2+D3)</f>
        <v>37800</v>
      </c>
    </row>
    <row r="4" spans="1:8" x14ac:dyDescent="0.25">
      <c r="A4" s="4" t="s">
        <v>228</v>
      </c>
      <c r="B4" s="15">
        <f>B3-B2</f>
        <v>138000</v>
      </c>
      <c r="C4" s="15"/>
      <c r="D4" s="15"/>
      <c r="E4" s="16"/>
      <c r="F4" s="15">
        <f>$C$2-(D2+D3+D4)</f>
        <v>37800</v>
      </c>
    </row>
    <row r="5" spans="1:8" x14ac:dyDescent="0.25">
      <c r="B5" s="15"/>
      <c r="C5" s="15"/>
      <c r="D5" s="15"/>
      <c r="E5" s="16"/>
      <c r="F5" s="15">
        <f>$C$2-(D2+D3+D4+D5)</f>
        <v>37800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ACCOUNT'!AD140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ACCOUNT'!T12:T139,8000)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ACCOUNT'!AE140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ACCOUNT'!W12:W139)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2026-10-02T05:33:12Z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