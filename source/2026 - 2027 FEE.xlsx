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063CE429-CC6B-4827-B509-8826979CDFC5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ACCOUNT'!$A$1:$AE$126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13" l="1"/>
  <c r="N33" i="14"/>
  <c r="M33" i="14"/>
  <c r="L33" i="14"/>
  <c r="K33" i="14"/>
  <c r="J33" i="14"/>
  <c r="Z33" i="14" s="1"/>
  <c r="AB33" i="14" s="1"/>
  <c r="N18" i="14"/>
  <c r="M18" i="14"/>
  <c r="L18" i="14"/>
  <c r="K18" i="14"/>
  <c r="J18" i="14"/>
  <c r="Z18" i="14" s="1"/>
  <c r="AB18" i="14" s="1"/>
  <c r="N87" i="14"/>
  <c r="M87" i="14"/>
  <c r="L87" i="14"/>
  <c r="K87" i="14"/>
  <c r="J87" i="14"/>
  <c r="N86" i="14"/>
  <c r="M86" i="14"/>
  <c r="L86" i="14"/>
  <c r="K86" i="14"/>
  <c r="J86" i="14"/>
  <c r="O127" i="14"/>
  <c r="P127" i="14"/>
  <c r="Q127" i="14"/>
  <c r="R127" i="14"/>
  <c r="S127" i="14"/>
  <c r="T127" i="14"/>
  <c r="U127" i="14"/>
  <c r="V127" i="14"/>
  <c r="W127" i="14"/>
  <c r="X127" i="14"/>
  <c r="Y127" i="14"/>
  <c r="AA127" i="14"/>
  <c r="N57" i="14"/>
  <c r="M57" i="14"/>
  <c r="L57" i="14"/>
  <c r="K57" i="14"/>
  <c r="J57" i="14"/>
  <c r="N58" i="14"/>
  <c r="M58" i="14"/>
  <c r="L58" i="14"/>
  <c r="K58" i="14"/>
  <c r="J58" i="14"/>
  <c r="Z58" i="14" s="1"/>
  <c r="AB58" i="14" s="1"/>
  <c r="N62" i="14"/>
  <c r="M62" i="14"/>
  <c r="L62" i="14"/>
  <c r="K62" i="14"/>
  <c r="J62" i="14"/>
  <c r="N48" i="14"/>
  <c r="M48" i="14"/>
  <c r="L48" i="14"/>
  <c r="K48" i="14"/>
  <c r="J48" i="14"/>
  <c r="N40" i="14"/>
  <c r="M40" i="14"/>
  <c r="L40" i="14"/>
  <c r="K40" i="14"/>
  <c r="J40" i="14"/>
  <c r="N34" i="14"/>
  <c r="M34" i="14"/>
  <c r="L34" i="14"/>
  <c r="K34" i="14"/>
  <c r="J34" i="14"/>
  <c r="N110" i="14"/>
  <c r="M110" i="14"/>
  <c r="L110" i="14"/>
  <c r="K110" i="14"/>
  <c r="J110" i="14"/>
  <c r="J3" i="14"/>
  <c r="K3" i="14"/>
  <c r="L3" i="14"/>
  <c r="M3" i="14"/>
  <c r="N3" i="14"/>
  <c r="J79" i="14"/>
  <c r="K79" i="14"/>
  <c r="L79" i="14"/>
  <c r="M79" i="14"/>
  <c r="N79" i="14"/>
  <c r="J2" i="14"/>
  <c r="K2" i="14"/>
  <c r="L2" i="14"/>
  <c r="M2" i="14"/>
  <c r="N2" i="14"/>
  <c r="L29" i="14"/>
  <c r="L32" i="14"/>
  <c r="L38" i="14"/>
  <c r="L41" i="14"/>
  <c r="L56" i="14"/>
  <c r="L68" i="14"/>
  <c r="L72" i="14"/>
  <c r="L74" i="14"/>
  <c r="L76" i="14"/>
  <c r="L84" i="14"/>
  <c r="L85" i="14"/>
  <c r="L89" i="14"/>
  <c r="L92" i="14"/>
  <c r="L102" i="14"/>
  <c r="L120" i="14"/>
  <c r="L124" i="14"/>
  <c r="L11" i="14"/>
  <c r="L23" i="14"/>
  <c r="L26" i="14"/>
  <c r="L67" i="14"/>
  <c r="L80" i="14"/>
  <c r="L22" i="14"/>
  <c r="L27" i="14"/>
  <c r="L42" i="14"/>
  <c r="L43" i="14"/>
  <c r="L45" i="14"/>
  <c r="L46" i="14"/>
  <c r="L52" i="14"/>
  <c r="L65" i="14"/>
  <c r="L101" i="14"/>
  <c r="L105" i="14"/>
  <c r="L121" i="14"/>
  <c r="L12" i="14"/>
  <c r="L5" i="14"/>
  <c r="L13" i="14"/>
  <c r="L16" i="14"/>
  <c r="L36" i="14"/>
  <c r="L49" i="14"/>
  <c r="L73" i="14"/>
  <c r="L108" i="14"/>
  <c r="L111" i="14"/>
  <c r="L112" i="14"/>
  <c r="L20" i="14"/>
  <c r="L51" i="14"/>
  <c r="L60" i="14"/>
  <c r="L63" i="14"/>
  <c r="L90" i="14"/>
  <c r="L95" i="14"/>
  <c r="L97" i="14"/>
  <c r="L100" i="14"/>
  <c r="L118" i="14"/>
  <c r="L6" i="14"/>
  <c r="L8" i="14"/>
  <c r="L9" i="14"/>
  <c r="L19" i="14"/>
  <c r="L28" i="14"/>
  <c r="L30" i="14"/>
  <c r="L55" i="14"/>
  <c r="L99" i="14"/>
  <c r="L117" i="14"/>
  <c r="L125" i="14"/>
  <c r="L7" i="14"/>
  <c r="L35" i="14"/>
  <c r="L39" i="14"/>
  <c r="L59" i="14"/>
  <c r="L61" i="14"/>
  <c r="L69" i="14"/>
  <c r="L70" i="14"/>
  <c r="L75" i="14"/>
  <c r="L77" i="14"/>
  <c r="L83" i="14"/>
  <c r="L91" i="14"/>
  <c r="L93" i="14"/>
  <c r="L94" i="14"/>
  <c r="L103" i="14"/>
  <c r="L106" i="14"/>
  <c r="L113" i="14"/>
  <c r="L126" i="14"/>
  <c r="L24" i="14"/>
  <c r="L25" i="14"/>
  <c r="L37" i="14"/>
  <c r="L53" i="14"/>
  <c r="L104" i="14"/>
  <c r="L114" i="14"/>
  <c r="L123" i="14"/>
  <c r="L10" i="14"/>
  <c r="L14" i="14"/>
  <c r="L17" i="14"/>
  <c r="L64" i="14"/>
  <c r="L78" i="14"/>
  <c r="L81" i="14"/>
  <c r="L96" i="14"/>
  <c r="L107" i="14"/>
  <c r="L109" i="14"/>
  <c r="L66" i="14"/>
  <c r="L71" i="14"/>
  <c r="L98" i="14"/>
  <c r="L119" i="14"/>
  <c r="L21" i="14"/>
  <c r="L50" i="14"/>
  <c r="L54" i="14"/>
  <c r="L115" i="14"/>
  <c r="L4" i="14"/>
  <c r="L31" i="14"/>
  <c r="L44" i="14"/>
  <c r="L47" i="14"/>
  <c r="L82" i="14"/>
  <c r="L116" i="14"/>
  <c r="L122" i="14"/>
  <c r="L88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20" i="14"/>
  <c r="M19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5" i="14"/>
  <c r="M36" i="14"/>
  <c r="M37" i="14"/>
  <c r="M38" i="14"/>
  <c r="M39" i="14"/>
  <c r="M41" i="14"/>
  <c r="M42" i="14"/>
  <c r="M43" i="14"/>
  <c r="M44" i="14"/>
  <c r="M45" i="14"/>
  <c r="M46" i="14"/>
  <c r="M47" i="14"/>
  <c r="M49" i="14"/>
  <c r="M50" i="14"/>
  <c r="M51" i="14"/>
  <c r="M52" i="14"/>
  <c r="M53" i="14"/>
  <c r="M54" i="14"/>
  <c r="M55" i="14"/>
  <c r="M56" i="14"/>
  <c r="M59" i="14"/>
  <c r="M60" i="14"/>
  <c r="M61" i="14"/>
  <c r="M63" i="14"/>
  <c r="M64" i="14"/>
  <c r="M65" i="14"/>
  <c r="M66" i="14"/>
  <c r="M67" i="14"/>
  <c r="M68" i="14"/>
  <c r="M69" i="14"/>
  <c r="M70" i="14"/>
  <c r="M71" i="14"/>
  <c r="M72" i="14"/>
  <c r="M74" i="14"/>
  <c r="M73" i="14"/>
  <c r="M76" i="14"/>
  <c r="M75" i="14"/>
  <c r="M77" i="14"/>
  <c r="M78" i="14"/>
  <c r="M80" i="14"/>
  <c r="M81" i="14"/>
  <c r="M82" i="14"/>
  <c r="M83" i="14"/>
  <c r="M84" i="14"/>
  <c r="M85" i="14"/>
  <c r="M88" i="14"/>
  <c r="M89" i="14"/>
  <c r="M90" i="14"/>
  <c r="M91" i="14"/>
  <c r="M92" i="14"/>
  <c r="M93" i="14"/>
  <c r="M95" i="14"/>
  <c r="M94" i="14"/>
  <c r="M96" i="14"/>
  <c r="M97" i="14"/>
  <c r="M98" i="14"/>
  <c r="M100" i="14"/>
  <c r="M99" i="14"/>
  <c r="M101" i="14"/>
  <c r="M102" i="14"/>
  <c r="M103" i="14"/>
  <c r="M104" i="14"/>
  <c r="M105" i="14"/>
  <c r="M106" i="14"/>
  <c r="M107" i="14"/>
  <c r="M108" i="14"/>
  <c r="M109" i="14"/>
  <c r="M111" i="14"/>
  <c r="M112" i="14"/>
  <c r="M113" i="14"/>
  <c r="M114" i="14"/>
  <c r="M115" i="14"/>
  <c r="M116" i="14"/>
  <c r="M118" i="14"/>
  <c r="M117" i="14"/>
  <c r="M119" i="14"/>
  <c r="M120" i="14"/>
  <c r="M121" i="14"/>
  <c r="M122" i="14"/>
  <c r="M123" i="14"/>
  <c r="M124" i="14"/>
  <c r="M125" i="14"/>
  <c r="M126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20" i="14"/>
  <c r="J19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5" i="14"/>
  <c r="J36" i="14"/>
  <c r="J37" i="14"/>
  <c r="J38" i="14"/>
  <c r="J39" i="14"/>
  <c r="J41" i="14"/>
  <c r="J42" i="14"/>
  <c r="J43" i="14"/>
  <c r="J44" i="14"/>
  <c r="J45" i="14"/>
  <c r="J46" i="14"/>
  <c r="J47" i="14"/>
  <c r="J49" i="14"/>
  <c r="J50" i="14"/>
  <c r="J51" i="14"/>
  <c r="J52" i="14"/>
  <c r="J53" i="14"/>
  <c r="J54" i="14"/>
  <c r="J55" i="14"/>
  <c r="J56" i="14"/>
  <c r="J59" i="14"/>
  <c r="J60" i="14"/>
  <c r="J61" i="14"/>
  <c r="J63" i="14"/>
  <c r="J64" i="14"/>
  <c r="J65" i="14"/>
  <c r="J66" i="14"/>
  <c r="J67" i="14"/>
  <c r="J68" i="14"/>
  <c r="J69" i="14"/>
  <c r="J70" i="14"/>
  <c r="J71" i="14"/>
  <c r="J72" i="14"/>
  <c r="J74" i="14"/>
  <c r="J73" i="14"/>
  <c r="J76" i="14"/>
  <c r="J75" i="14"/>
  <c r="J77" i="14"/>
  <c r="J78" i="14"/>
  <c r="J80" i="14"/>
  <c r="J81" i="14"/>
  <c r="J82" i="14"/>
  <c r="J83" i="14"/>
  <c r="J84" i="14"/>
  <c r="J85" i="14"/>
  <c r="J88" i="14"/>
  <c r="J89" i="14"/>
  <c r="J90" i="14"/>
  <c r="J91" i="14"/>
  <c r="J92" i="14"/>
  <c r="J93" i="14"/>
  <c r="J95" i="14"/>
  <c r="J94" i="14"/>
  <c r="J96" i="14"/>
  <c r="J97" i="14"/>
  <c r="J98" i="14"/>
  <c r="J100" i="14"/>
  <c r="J99" i="14"/>
  <c r="J101" i="14"/>
  <c r="J102" i="14"/>
  <c r="J103" i="14"/>
  <c r="J104" i="14"/>
  <c r="J105" i="14"/>
  <c r="J106" i="14"/>
  <c r="J107" i="14"/>
  <c r="J108" i="14"/>
  <c r="J109" i="14"/>
  <c r="J111" i="14"/>
  <c r="J112" i="14"/>
  <c r="J113" i="14"/>
  <c r="J114" i="14"/>
  <c r="J115" i="14"/>
  <c r="J116" i="14"/>
  <c r="J118" i="14"/>
  <c r="J117" i="14"/>
  <c r="J119" i="14"/>
  <c r="J120" i="14"/>
  <c r="J121" i="14"/>
  <c r="J122" i="14"/>
  <c r="J123" i="14"/>
  <c r="J124" i="14"/>
  <c r="J125" i="14"/>
  <c r="J126" i="14"/>
  <c r="N126" i="14"/>
  <c r="K126" i="14"/>
  <c r="N125" i="14"/>
  <c r="K125" i="14"/>
  <c r="N124" i="14"/>
  <c r="K124" i="14"/>
  <c r="N123" i="14"/>
  <c r="K123" i="14"/>
  <c r="N122" i="14"/>
  <c r="K122" i="14"/>
  <c r="N121" i="14"/>
  <c r="K121" i="14"/>
  <c r="N120" i="14"/>
  <c r="K120" i="14"/>
  <c r="N119" i="14"/>
  <c r="K119" i="14"/>
  <c r="N117" i="14"/>
  <c r="K117" i="14"/>
  <c r="N118" i="14"/>
  <c r="K118" i="14"/>
  <c r="N116" i="14"/>
  <c r="K116" i="14"/>
  <c r="N115" i="14"/>
  <c r="K115" i="14"/>
  <c r="N114" i="14"/>
  <c r="K114" i="14"/>
  <c r="N113" i="14"/>
  <c r="K113" i="14"/>
  <c r="N112" i="14"/>
  <c r="K112" i="14"/>
  <c r="N111" i="14"/>
  <c r="K111" i="14"/>
  <c r="N109" i="14"/>
  <c r="K109" i="14"/>
  <c r="N108" i="14"/>
  <c r="K108" i="14"/>
  <c r="N107" i="14"/>
  <c r="K107" i="14"/>
  <c r="N106" i="14"/>
  <c r="K106" i="14"/>
  <c r="N105" i="14"/>
  <c r="K105" i="14"/>
  <c r="N104" i="14"/>
  <c r="K104" i="14"/>
  <c r="N103" i="14"/>
  <c r="K103" i="14"/>
  <c r="N102" i="14"/>
  <c r="K102" i="14"/>
  <c r="N101" i="14"/>
  <c r="K101" i="14"/>
  <c r="N99" i="14"/>
  <c r="K99" i="14"/>
  <c r="N100" i="14"/>
  <c r="K100" i="14"/>
  <c r="N98" i="14"/>
  <c r="K98" i="14"/>
  <c r="N97" i="14"/>
  <c r="K97" i="14"/>
  <c r="N96" i="14"/>
  <c r="K96" i="14"/>
  <c r="N94" i="14"/>
  <c r="K94" i="14"/>
  <c r="N95" i="14"/>
  <c r="K95" i="14"/>
  <c r="N93" i="14"/>
  <c r="K93" i="14"/>
  <c r="N92" i="14"/>
  <c r="K92" i="14"/>
  <c r="N91" i="14"/>
  <c r="K91" i="14"/>
  <c r="N90" i="14"/>
  <c r="K90" i="14"/>
  <c r="N89" i="14"/>
  <c r="K89" i="14"/>
  <c r="N88" i="14"/>
  <c r="K88" i="14"/>
  <c r="N85" i="14"/>
  <c r="K85" i="14"/>
  <c r="N84" i="14"/>
  <c r="K84" i="14"/>
  <c r="N83" i="14"/>
  <c r="K83" i="14"/>
  <c r="N82" i="14"/>
  <c r="K82" i="14"/>
  <c r="N81" i="14"/>
  <c r="K81" i="14"/>
  <c r="N80" i="14"/>
  <c r="K80" i="14"/>
  <c r="N78" i="14"/>
  <c r="K78" i="14"/>
  <c r="N77" i="14"/>
  <c r="K77" i="14"/>
  <c r="N75" i="14"/>
  <c r="K75" i="14"/>
  <c r="N76" i="14"/>
  <c r="K76" i="14"/>
  <c r="N73" i="14"/>
  <c r="K73" i="14"/>
  <c r="N74" i="14"/>
  <c r="K74" i="14"/>
  <c r="N72" i="14"/>
  <c r="K72" i="14"/>
  <c r="N71" i="14"/>
  <c r="K71" i="14"/>
  <c r="N70" i="14"/>
  <c r="K70" i="14"/>
  <c r="N69" i="14"/>
  <c r="K69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1" i="14"/>
  <c r="K61" i="14"/>
  <c r="N60" i="14"/>
  <c r="K60" i="14"/>
  <c r="N59" i="14"/>
  <c r="K59" i="14"/>
  <c r="N56" i="14"/>
  <c r="K56" i="14"/>
  <c r="N55" i="14"/>
  <c r="K55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7" i="14"/>
  <c r="K47" i="14"/>
  <c r="N46" i="14"/>
  <c r="K46" i="14"/>
  <c r="N45" i="14"/>
  <c r="K45" i="14"/>
  <c r="N44" i="14"/>
  <c r="K44" i="14"/>
  <c r="N43" i="14"/>
  <c r="K43" i="14"/>
  <c r="N42" i="14"/>
  <c r="K42" i="14"/>
  <c r="N41" i="14"/>
  <c r="K41" i="14"/>
  <c r="N39" i="14"/>
  <c r="K39" i="14"/>
  <c r="N38" i="14"/>
  <c r="K38" i="14"/>
  <c r="N37" i="14"/>
  <c r="K37" i="14"/>
  <c r="N36" i="14"/>
  <c r="K36" i="14"/>
  <c r="N35" i="14"/>
  <c r="K35" i="14"/>
  <c r="N32" i="14"/>
  <c r="K32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19" i="14"/>
  <c r="K19" i="14"/>
  <c r="N20" i="14"/>
  <c r="K20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AD33" i="14" l="1"/>
  <c r="AC33" i="14"/>
  <c r="AE33" i="14"/>
  <c r="AE18" i="14"/>
  <c r="AD18" i="14"/>
  <c r="AC18" i="14"/>
  <c r="Z87" i="14"/>
  <c r="AB87" i="14" s="1"/>
  <c r="AC87" i="14"/>
  <c r="AD87" i="14"/>
  <c r="AE87" i="14"/>
  <c r="Z86" i="14"/>
  <c r="AB86" i="14" s="1"/>
  <c r="N127" i="14"/>
  <c r="Z57" i="14"/>
  <c r="AB57" i="14" s="1"/>
  <c r="AD58" i="14"/>
  <c r="AE58" i="14"/>
  <c r="AC58" i="14"/>
  <c r="Z122" i="14"/>
  <c r="AB122" i="14" s="1"/>
  <c r="Z34" i="14"/>
  <c r="AB34" i="14" s="1"/>
  <c r="Z40" i="14"/>
  <c r="AB40" i="14" s="1"/>
  <c r="Z62" i="14"/>
  <c r="AB62" i="14" s="1"/>
  <c r="Z48" i="14"/>
  <c r="AB48" i="14" s="1"/>
  <c r="Z110" i="14"/>
  <c r="AB110" i="14" s="1"/>
  <c r="Z79" i="14"/>
  <c r="AB79" i="14" s="1"/>
  <c r="Z3" i="14"/>
  <c r="AB3" i="14" s="1"/>
  <c r="Z2" i="14"/>
  <c r="AB2" i="14" s="1"/>
  <c r="Z7" i="14"/>
  <c r="AB7" i="14" s="1"/>
  <c r="Z42" i="14"/>
  <c r="AB42" i="14" s="1"/>
  <c r="Z9" i="14"/>
  <c r="AB9" i="14" s="1"/>
  <c r="Z72" i="14"/>
  <c r="AB72" i="14" s="1"/>
  <c r="Z59" i="14"/>
  <c r="AB59" i="14" s="1"/>
  <c r="Z120" i="14"/>
  <c r="AB120" i="14" s="1"/>
  <c r="Z104" i="14"/>
  <c r="AB104" i="14" s="1"/>
  <c r="Z70" i="14"/>
  <c r="AB70" i="14" s="1"/>
  <c r="Z26" i="14"/>
  <c r="AB26" i="14" s="1"/>
  <c r="Z82" i="14"/>
  <c r="AB82" i="14" s="1"/>
  <c r="Z91" i="14"/>
  <c r="AB91" i="14" s="1"/>
  <c r="Z113" i="14"/>
  <c r="AB113" i="14" s="1"/>
  <c r="Z80" i="14"/>
  <c r="AB80" i="14" s="1"/>
  <c r="Z102" i="14"/>
  <c r="Z111" i="14"/>
  <c r="AB111" i="14" s="1"/>
  <c r="Z67" i="14"/>
  <c r="AB67" i="14" s="1"/>
  <c r="Z63" i="14"/>
  <c r="AB63" i="14" s="1"/>
  <c r="Z53" i="14"/>
  <c r="AB53" i="14" s="1"/>
  <c r="Z49" i="14"/>
  <c r="AB49" i="14" s="1"/>
  <c r="Z45" i="14"/>
  <c r="AB45" i="14" s="1"/>
  <c r="Z37" i="14"/>
  <c r="AB37" i="14" s="1"/>
  <c r="Z30" i="14"/>
  <c r="AB30" i="14" s="1"/>
  <c r="Z22" i="14"/>
  <c r="AB22" i="14" s="1"/>
  <c r="Z17" i="14"/>
  <c r="AB17" i="14" s="1"/>
  <c r="Z13" i="14"/>
  <c r="AB13" i="14" s="1"/>
  <c r="Z6" i="14"/>
  <c r="AB6" i="14" s="1"/>
  <c r="Z73" i="14"/>
  <c r="AB73" i="14" s="1"/>
  <c r="Z98" i="14"/>
  <c r="AB98" i="14" s="1"/>
  <c r="Z117" i="14"/>
  <c r="AB117" i="14" s="1"/>
  <c r="Z126" i="14"/>
  <c r="AB126" i="14" s="1"/>
  <c r="Z19" i="14"/>
  <c r="AB19" i="14" s="1"/>
  <c r="Z35" i="14"/>
  <c r="AB35" i="14" s="1"/>
  <c r="Z51" i="14"/>
  <c r="Z69" i="14"/>
  <c r="AB69" i="14" s="1"/>
  <c r="Z88" i="14"/>
  <c r="AB88" i="14" s="1"/>
  <c r="Z100" i="14"/>
  <c r="AB100" i="14" s="1"/>
  <c r="Z115" i="14"/>
  <c r="AB115" i="14" s="1"/>
  <c r="Z5" i="14"/>
  <c r="AB5" i="14" s="1"/>
  <c r="Z94" i="14"/>
  <c r="AB94" i="14" s="1"/>
  <c r="Z4" i="14"/>
  <c r="AB4" i="14" s="1"/>
  <c r="Z78" i="14"/>
  <c r="AB78" i="14" s="1"/>
  <c r="Z95" i="14"/>
  <c r="AB95" i="14" s="1"/>
  <c r="Z106" i="14"/>
  <c r="AB106" i="14" s="1"/>
  <c r="Z124" i="14"/>
  <c r="AB124" i="14" s="1"/>
  <c r="Z108" i="14"/>
  <c r="AB108" i="14" s="1"/>
  <c r="Z101" i="14"/>
  <c r="AB101" i="14" s="1"/>
  <c r="Z96" i="14"/>
  <c r="AB96" i="14" s="1"/>
  <c r="Z89" i="14"/>
  <c r="AB89" i="14" s="1"/>
  <c r="Z84" i="14"/>
  <c r="AB84" i="14" s="1"/>
  <c r="Z75" i="14"/>
  <c r="AB75" i="14" s="1"/>
  <c r="Z68" i="14"/>
  <c r="AB68" i="14" s="1"/>
  <c r="Z50" i="14"/>
  <c r="AB50" i="14" s="1"/>
  <c r="Z43" i="14"/>
  <c r="AB43" i="14" s="1"/>
  <c r="Z27" i="14"/>
  <c r="AB27" i="14" s="1"/>
  <c r="Z20" i="14"/>
  <c r="AB20" i="14" s="1"/>
  <c r="Z10" i="14"/>
  <c r="AB10" i="14" s="1"/>
  <c r="Z11" i="14"/>
  <c r="AB11" i="14" s="1"/>
  <c r="Z28" i="14"/>
  <c r="AB28" i="14" s="1"/>
  <c r="Z60" i="14"/>
  <c r="AB60" i="14" s="1"/>
  <c r="Z121" i="14"/>
  <c r="AB121" i="14" s="1"/>
  <c r="Z114" i="14"/>
  <c r="AB114" i="14" s="1"/>
  <c r="Z105" i="14"/>
  <c r="AB105" i="14" s="1"/>
  <c r="Z65" i="14"/>
  <c r="AB65" i="14" s="1"/>
  <c r="Z55" i="14"/>
  <c r="AB55" i="14" s="1"/>
  <c r="Z47" i="14"/>
  <c r="AB47" i="14" s="1"/>
  <c r="Z39" i="14"/>
  <c r="AB39" i="14" s="1"/>
  <c r="Z32" i="14"/>
  <c r="AB32" i="14" s="1"/>
  <c r="Z24" i="14"/>
  <c r="AB24" i="14" s="1"/>
  <c r="Z15" i="14"/>
  <c r="AB15" i="14" s="1"/>
  <c r="Z77" i="14"/>
  <c r="AB77" i="14" s="1"/>
  <c r="Z8" i="14"/>
  <c r="AB8" i="14" s="1"/>
  <c r="Z93" i="14"/>
  <c r="AB93" i="14" s="1"/>
  <c r="Z74" i="14"/>
  <c r="AB74" i="14" s="1"/>
  <c r="Z85" i="14"/>
  <c r="AB85" i="14" s="1"/>
  <c r="Z41" i="14"/>
  <c r="AB41" i="14" s="1"/>
  <c r="Z56" i="14"/>
  <c r="AB56" i="14" s="1"/>
  <c r="Z66" i="14"/>
  <c r="AB66" i="14" s="1"/>
  <c r="Z103" i="14"/>
  <c r="AB103" i="14" s="1"/>
  <c r="Z14" i="14"/>
  <c r="AB14" i="14" s="1"/>
  <c r="Z23" i="14"/>
  <c r="AB23" i="14" s="1"/>
  <c r="Z31" i="14"/>
  <c r="AB31" i="14" s="1"/>
  <c r="Z38" i="14"/>
  <c r="AB38" i="14" s="1"/>
  <c r="Z46" i="14"/>
  <c r="AB46" i="14" s="1"/>
  <c r="Z54" i="14"/>
  <c r="Z64" i="14"/>
  <c r="AB64" i="14" s="1"/>
  <c r="Z71" i="14"/>
  <c r="AB71" i="14" s="1"/>
  <c r="Z16" i="14"/>
  <c r="AB16" i="14" s="1"/>
  <c r="Z25" i="14"/>
  <c r="AB25" i="14" s="1"/>
  <c r="Z119" i="14"/>
  <c r="AB119" i="14" s="1"/>
  <c r="Z12" i="14"/>
  <c r="AB12" i="14" s="1"/>
  <c r="Z21" i="14"/>
  <c r="AB21" i="14" s="1"/>
  <c r="Z29" i="14"/>
  <c r="AB29" i="14" s="1"/>
  <c r="Z36" i="14"/>
  <c r="AB36" i="14" s="1"/>
  <c r="Z44" i="14"/>
  <c r="AB44" i="14" s="1"/>
  <c r="Z52" i="14"/>
  <c r="AB52" i="14" s="1"/>
  <c r="Z61" i="14"/>
  <c r="AB61" i="14" s="1"/>
  <c r="Z112" i="14"/>
  <c r="AB112" i="14" s="1"/>
  <c r="Z76" i="14"/>
  <c r="AB76" i="14" s="1"/>
  <c r="Z83" i="14"/>
  <c r="AB83" i="14" s="1"/>
  <c r="Z92" i="14"/>
  <c r="AB92" i="14" s="1"/>
  <c r="Z109" i="14"/>
  <c r="AB109" i="14" s="1"/>
  <c r="Z118" i="14"/>
  <c r="AB118" i="14" s="1"/>
  <c r="Z125" i="14"/>
  <c r="AB125" i="14" s="1"/>
  <c r="Z81" i="14"/>
  <c r="AB81" i="14" s="1"/>
  <c r="Z90" i="14"/>
  <c r="AB90" i="14" s="1"/>
  <c r="Z97" i="14"/>
  <c r="AB97" i="14" s="1"/>
  <c r="Z99" i="14"/>
  <c r="AB99" i="14" s="1"/>
  <c r="Z107" i="14"/>
  <c r="AB107" i="14" s="1"/>
  <c r="Z116" i="14"/>
  <c r="AB116" i="14" s="1"/>
  <c r="Z123" i="14"/>
  <c r="AB123" i="14" s="1"/>
  <c r="AC86" i="14" l="1"/>
  <c r="AD86" i="14"/>
  <c r="AE86" i="14"/>
  <c r="AC57" i="14"/>
  <c r="AD57" i="14"/>
  <c r="AE57" i="14"/>
  <c r="AB102" i="14"/>
  <c r="Z127" i="14"/>
  <c r="AC122" i="14"/>
  <c r="AD122" i="14"/>
  <c r="AE122" i="14"/>
  <c r="AC34" i="14"/>
  <c r="AE34" i="14"/>
  <c r="AD34" i="14"/>
  <c r="AD40" i="14"/>
  <c r="AE40" i="14"/>
  <c r="AC40" i="14"/>
  <c r="AC62" i="14"/>
  <c r="AD62" i="14"/>
  <c r="AE62" i="14"/>
  <c r="AE48" i="14"/>
  <c r="AD48" i="14"/>
  <c r="AC48" i="14"/>
  <c r="AC110" i="14"/>
  <c r="AD110" i="14"/>
  <c r="AE110" i="14"/>
  <c r="AD79" i="14"/>
  <c r="AC79" i="14"/>
  <c r="AE79" i="14"/>
  <c r="AD3" i="14"/>
  <c r="AE3" i="14"/>
  <c r="AC3" i="14"/>
  <c r="AC7" i="14"/>
  <c r="AD7" i="14"/>
  <c r="AE7" i="14"/>
  <c r="AC42" i="14"/>
  <c r="AD42" i="14"/>
  <c r="AE42" i="14"/>
  <c r="AD9" i="14"/>
  <c r="AC9" i="14"/>
  <c r="AE9" i="14"/>
  <c r="AE72" i="14"/>
  <c r="AD72" i="14"/>
  <c r="AC72" i="14"/>
  <c r="AD59" i="14"/>
  <c r="AE59" i="14"/>
  <c r="AC59" i="14"/>
  <c r="AE120" i="14"/>
  <c r="AD120" i="14"/>
  <c r="AC120" i="14"/>
  <c r="AE104" i="14"/>
  <c r="AD104" i="14"/>
  <c r="AC104" i="14"/>
  <c r="AE70" i="14"/>
  <c r="AD70" i="14"/>
  <c r="AC70" i="14"/>
  <c r="AE82" i="14"/>
  <c r="AD82" i="14"/>
  <c r="AC82" i="14"/>
  <c r="AC91" i="14"/>
  <c r="AD91" i="14"/>
  <c r="AE91" i="14"/>
  <c r="AC113" i="14"/>
  <c r="AD113" i="14"/>
  <c r="AE113" i="14"/>
  <c r="AE80" i="14"/>
  <c r="AD80" i="14"/>
  <c r="AC80" i="14"/>
  <c r="AC102" i="14"/>
  <c r="AD102" i="14"/>
  <c r="AE102" i="14"/>
  <c r="AC111" i="14"/>
  <c r="AD111" i="14"/>
  <c r="AE111" i="14"/>
  <c r="AE67" i="14"/>
  <c r="AC67" i="14"/>
  <c r="AD67" i="14"/>
  <c r="AC63" i="14"/>
  <c r="AD63" i="14"/>
  <c r="AE63" i="14"/>
  <c r="AC53" i="14"/>
  <c r="AE53" i="14"/>
  <c r="AD53" i="14"/>
  <c r="AC49" i="14"/>
  <c r="AD49" i="14"/>
  <c r="AE49" i="14"/>
  <c r="AE45" i="14"/>
  <c r="AD45" i="14"/>
  <c r="AC45" i="14"/>
  <c r="AE37" i="14"/>
  <c r="AD37" i="14"/>
  <c r="AC37" i="14"/>
  <c r="AE30" i="14"/>
  <c r="AD30" i="14"/>
  <c r="AC30" i="14"/>
  <c r="AD22" i="14"/>
  <c r="AE22" i="14"/>
  <c r="AC22" i="14"/>
  <c r="AD17" i="14"/>
  <c r="AC17" i="14"/>
  <c r="AE17" i="14"/>
  <c r="AE13" i="14"/>
  <c r="AC13" i="14"/>
  <c r="AD13" i="14"/>
  <c r="AD6" i="14"/>
  <c r="AC6" i="14"/>
  <c r="AE6" i="14"/>
  <c r="AD73" i="14"/>
  <c r="AE73" i="14"/>
  <c r="AC73" i="14"/>
  <c r="AE98" i="14"/>
  <c r="AD98" i="14"/>
  <c r="AC98" i="14"/>
  <c r="AC117" i="14"/>
  <c r="AE117" i="14"/>
  <c r="AD117" i="14"/>
  <c r="AD126" i="14"/>
  <c r="AC126" i="14"/>
  <c r="AE126" i="14"/>
  <c r="AE19" i="14"/>
  <c r="AC19" i="14"/>
  <c r="AD19" i="14"/>
  <c r="AE35" i="14"/>
  <c r="AD35" i="14"/>
  <c r="AC35" i="14"/>
  <c r="AE69" i="14"/>
  <c r="AD69" i="14"/>
  <c r="AC69" i="14"/>
  <c r="AC88" i="14"/>
  <c r="AE88" i="14"/>
  <c r="AD88" i="14"/>
  <c r="AE100" i="14"/>
  <c r="AD100" i="14"/>
  <c r="AC100" i="14"/>
  <c r="AE115" i="14"/>
  <c r="AD115" i="14"/>
  <c r="AC115" i="14"/>
  <c r="AE5" i="14"/>
  <c r="AD5" i="14"/>
  <c r="AC5" i="14"/>
  <c r="AE94" i="14"/>
  <c r="AD94" i="14"/>
  <c r="AC94" i="14"/>
  <c r="AD4" i="14"/>
  <c r="AE4" i="14"/>
  <c r="AC4" i="14"/>
  <c r="AC78" i="14"/>
  <c r="AD78" i="14"/>
  <c r="AE78" i="14"/>
  <c r="AE95" i="14"/>
  <c r="AD95" i="14"/>
  <c r="AC95" i="14"/>
  <c r="AC124" i="14"/>
  <c r="AD124" i="14"/>
  <c r="AE124" i="14"/>
  <c r="AE108" i="14"/>
  <c r="AD108" i="14"/>
  <c r="AC108" i="14"/>
  <c r="AE101" i="14"/>
  <c r="AD101" i="14"/>
  <c r="AC101" i="14"/>
  <c r="AE96" i="14"/>
  <c r="AD96" i="14"/>
  <c r="AC96" i="14"/>
  <c r="AE89" i="14"/>
  <c r="AD89" i="14"/>
  <c r="AC89" i="14"/>
  <c r="AC84" i="14"/>
  <c r="AD84" i="14"/>
  <c r="AE84" i="14"/>
  <c r="AD75" i="14"/>
  <c r="AE75" i="14"/>
  <c r="AC75" i="14"/>
  <c r="AE68" i="14"/>
  <c r="AD68" i="14"/>
  <c r="AC68" i="14"/>
  <c r="AC43" i="14"/>
  <c r="AE43" i="14"/>
  <c r="AD43" i="14"/>
  <c r="AC27" i="14"/>
  <c r="AD27" i="14"/>
  <c r="AE27" i="14"/>
  <c r="AE20" i="14"/>
  <c r="AC20" i="14"/>
  <c r="AD20" i="14"/>
  <c r="AC10" i="14"/>
  <c r="AD10" i="14"/>
  <c r="AE10" i="14"/>
  <c r="AC11" i="14"/>
  <c r="AE11" i="14"/>
  <c r="AD11" i="14"/>
  <c r="AD28" i="14"/>
  <c r="AC28" i="14"/>
  <c r="AE28" i="14"/>
  <c r="AE60" i="14"/>
  <c r="AD60" i="14"/>
  <c r="AC60" i="14"/>
  <c r="AE121" i="14"/>
  <c r="AD121" i="14"/>
  <c r="AC121" i="14"/>
  <c r="AE114" i="14"/>
  <c r="AD114" i="14"/>
  <c r="AC114" i="14"/>
  <c r="AD105" i="14"/>
  <c r="AE105" i="14"/>
  <c r="AC105" i="14"/>
  <c r="AE65" i="14"/>
  <c r="AC65" i="14"/>
  <c r="AD65" i="14"/>
  <c r="AE55" i="14"/>
  <c r="AC55" i="14"/>
  <c r="AD55" i="14"/>
  <c r="AD47" i="14"/>
  <c r="AC47" i="14"/>
  <c r="AE47" i="14"/>
  <c r="AD39" i="14"/>
  <c r="AE39" i="14"/>
  <c r="AC39" i="14"/>
  <c r="AE32" i="14"/>
  <c r="AC32" i="14"/>
  <c r="AD32" i="14"/>
  <c r="AD24" i="14"/>
  <c r="AC24" i="14"/>
  <c r="AE24" i="14"/>
  <c r="AE77" i="14"/>
  <c r="AC77" i="14"/>
  <c r="AD77" i="14"/>
  <c r="AD8" i="14"/>
  <c r="AE8" i="14"/>
  <c r="AC8" i="14"/>
  <c r="AE93" i="14"/>
  <c r="AC93" i="14"/>
  <c r="AD93" i="14"/>
  <c r="AE74" i="14"/>
  <c r="AD74" i="14"/>
  <c r="AC74" i="14"/>
  <c r="AE85" i="14"/>
  <c r="AD85" i="14"/>
  <c r="AC85" i="14"/>
  <c r="AE41" i="14"/>
  <c r="AD41" i="14"/>
  <c r="AC41" i="14"/>
  <c r="AC56" i="14"/>
  <c r="AD56" i="14"/>
  <c r="AE56" i="14"/>
  <c r="AD66" i="14"/>
  <c r="AE66" i="14"/>
  <c r="AC66" i="14"/>
  <c r="AE103" i="14"/>
  <c r="AD103" i="14"/>
  <c r="AC103" i="14"/>
  <c r="AC14" i="14"/>
  <c r="AD14" i="14"/>
  <c r="AE14" i="14"/>
  <c r="AC23" i="14"/>
  <c r="AE23" i="14"/>
  <c r="AD23" i="14"/>
  <c r="AC31" i="14"/>
  <c r="AD31" i="14"/>
  <c r="AE31" i="14"/>
  <c r="AE38" i="14"/>
  <c r="AD38" i="14"/>
  <c r="AC38" i="14"/>
  <c r="AE46" i="14"/>
  <c r="AC46" i="14"/>
  <c r="AD46" i="14"/>
  <c r="AE64" i="14"/>
  <c r="AD64" i="14"/>
  <c r="AC64" i="14"/>
  <c r="AC71" i="14"/>
  <c r="AD71" i="14"/>
  <c r="AE71" i="14"/>
  <c r="AC16" i="14"/>
  <c r="AE16" i="14"/>
  <c r="AD16" i="14"/>
  <c r="AE25" i="14"/>
  <c r="AD25" i="14"/>
  <c r="AC25" i="14"/>
  <c r="AD119" i="14"/>
  <c r="AC119" i="14"/>
  <c r="AE119" i="14"/>
  <c r="AC12" i="14"/>
  <c r="AD12" i="14"/>
  <c r="AE12" i="14"/>
  <c r="AC21" i="14"/>
  <c r="AD21" i="14"/>
  <c r="AE21" i="14"/>
  <c r="AD29" i="14"/>
  <c r="AE29" i="14"/>
  <c r="AC29" i="14"/>
  <c r="AC36" i="14"/>
  <c r="AD36" i="14"/>
  <c r="AE36" i="14"/>
  <c r="AE44" i="14"/>
  <c r="AD44" i="14"/>
  <c r="AC44" i="14"/>
  <c r="AC52" i="14"/>
  <c r="AD52" i="14"/>
  <c r="AE52" i="14"/>
  <c r="AD61" i="14"/>
  <c r="AC61" i="14"/>
  <c r="AE61" i="14"/>
  <c r="AD76" i="14"/>
  <c r="AC76" i="14"/>
  <c r="AE76" i="14"/>
  <c r="AE92" i="14"/>
  <c r="AC92" i="14"/>
  <c r="AD92" i="14"/>
  <c r="AC109" i="14"/>
  <c r="AD109" i="14"/>
  <c r="AE109" i="14"/>
  <c r="AC118" i="14"/>
  <c r="AD118" i="14"/>
  <c r="AE118" i="14"/>
  <c r="AC125" i="14"/>
  <c r="AE125" i="14"/>
  <c r="AD125" i="14"/>
  <c r="AD81" i="14"/>
  <c r="AC81" i="14"/>
  <c r="AE81" i="14"/>
  <c r="AD97" i="14"/>
  <c r="AE97" i="14"/>
  <c r="AC97" i="14"/>
  <c r="AC99" i="14"/>
  <c r="AD99" i="14"/>
  <c r="AE99" i="14"/>
  <c r="AD116" i="14"/>
  <c r="AE116" i="14"/>
  <c r="AC116" i="14"/>
  <c r="AE123" i="14"/>
  <c r="AD123" i="14"/>
  <c r="AC123" i="14"/>
  <c r="AC50" i="14"/>
  <c r="AD50" i="14"/>
  <c r="AE50" i="14"/>
  <c r="AC112" i="14"/>
  <c r="AD112" i="14"/>
  <c r="AE112" i="14"/>
  <c r="AD26" i="14"/>
  <c r="AE26" i="14"/>
  <c r="AC26" i="14"/>
  <c r="AD90" i="14"/>
  <c r="AC90" i="14"/>
  <c r="AE90" i="14"/>
  <c r="AD83" i="14"/>
  <c r="AC83" i="14"/>
  <c r="AE83" i="14"/>
  <c r="AC107" i="14"/>
  <c r="AD107" i="14"/>
  <c r="AE107" i="14"/>
  <c r="AD106" i="14"/>
  <c r="AC106" i="14"/>
  <c r="AE106" i="14"/>
  <c r="AE15" i="14"/>
  <c r="AD15" i="14"/>
  <c r="AC15" i="14"/>
  <c r="AE2" i="14"/>
  <c r="AC2" i="14"/>
  <c r="AD2" i="14"/>
  <c r="AB51" i="14"/>
  <c r="AB54" i="14"/>
  <c r="AB127" i="14" l="1"/>
  <c r="AC54" i="14"/>
  <c r="AC127" i="14" s="1"/>
  <c r="AD54" i="14"/>
  <c r="AE54" i="14"/>
  <c r="AC51" i="14"/>
  <c r="AD51" i="14"/>
  <c r="AE51" i="14"/>
  <c r="AD127" i="14" l="1"/>
  <c r="B8" i="12" s="1"/>
  <c r="AE127" i="14"/>
  <c r="B14" i="12" s="1"/>
  <c r="C14" i="12" s="1"/>
  <c r="B2" i="12"/>
  <c r="C2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<sst xmlns="http://schemas.openxmlformats.org/spreadsheetml/2006/main" count="696" uniqueCount="339">
  <si>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</si>
  <si>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</si>
  <si>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</si>
  <si>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</si>
  <si>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</si>
  <si>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</si>
  <si>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</si>
  <si>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</si>
  <si>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</si>
  <si>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</si>
  <si>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</si>
  <si>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</si>
  <si>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</si>
  <si>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</si>
  <si>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</si>
  <si>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</si>
  <si>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</si>
  <si>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</si>
  <si>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</si>
  <si>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</si>
  <si>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</si>
  <si>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</si>
  <si>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</si>
  <si>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</si>
  <si>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</si>
  <si>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</si>
  <si>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</si>
  <si>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</si>
  <si>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</si>
  <si>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</si>
  <si>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</si>
  <si>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</si>
  <si>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</si>
  <si>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</si>
  <si>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</si>
  <si>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</si>
  <si>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</si>
  <si>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</si>
  <si>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</si>
  <si>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</si>
  <si>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</si>
  <si>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</si>
  <si>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</si>
  <si>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</si>
  <si>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</si>
  <si>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</si>
  <si>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</si>
  <si>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</si>
  <si>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</si>
  <si>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</si>
  <si>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</si>
  <si>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</si>
  <si>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</si>
  <si>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</si>
  <si>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</si>
  <si>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</si>
  <si>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</si>
  <si>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</si>
  <si>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</si>
  <si>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</si>
  <si>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</si>
  <si>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</si>
  <si>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</si>
  <si>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</si>
  <si>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</si>
  <si>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</si>
  <si>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</si>
  <si>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</si>
  <si>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</si>
  <si>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</si>
  <si>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</si>
  <si>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</si>
  <si>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</si>
  <si>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</si>
  <si>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</si>
  <si>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</si>
  <si>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</si>
  <si>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</si>
  <si>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</si>
  <si>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</si>
  <si>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</si>
  <si>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</si>
  <si>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</si>
  <si>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</si>
  <si>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</si>
  <si>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</si>
  <si>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</si>
  <si>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</si>
  <si>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</si>
  <si>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</si>
  <si>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</si>
  <si>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</si>
  <si>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</si>
  <si>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</si>
  <si>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</si>
  <si>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</si>
  <si>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</si>
  <si>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</si>
  <si>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</si>
  <si>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</si>
  <si>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</si>
  <si>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</si>
  <si>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</si>
  <si>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</si>
  <si>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</si>
  <si>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</si>
  <si>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</si>
  <si>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</si>
  <si>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</si>
  <si>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</si>
  <si>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</si>
  <si>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</si>
  <si>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</si>
  <si>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</si>
  <si>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</si>
  <si>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</si>
  <si>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</si>
  <si>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</si>
  <si>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</si>
  <si>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</si>
  <si>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</si>
  <si>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</si>
  <si>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</si>
  <si>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</si>
  <si>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</si>
  <si>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</si>
  <si>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</si>
  <si>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</si>
  <si>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</si>
  <si>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</si>
  <si>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</si>
  <si>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</si>
  <si>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</si>
  <si>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</si>
  <si>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</si>
  <si>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</si>
  <si>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</si>
  <si>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</si>
  <si>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</si>
  <si>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</si>
  <si>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</si>
  <si>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</si>
  <si>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</si>
  <si>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</si>
  <si>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</si>
  <si>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</si>
  <si>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</si>
  <si>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</si>
  <si>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</si>
  <si>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</si>
  <si>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</si>
  <si>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</si>
  <si>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</si>
  <si>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</si>
  <si>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</si>
  <si>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</si>
  <si>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</si>
  <si>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</si>
  <si>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</si>
  <si>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</si>
  <si>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</si>
  <si>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</si>
  <si>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</si>
  <si>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</si>
  <si>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</si>
  <si>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</si>
  <si>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</si>
  <si>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</si>
  <si>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</si>
  <si>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</si>
  <si>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</si>
  <si>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</si>
  <si>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</si>
  <si>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</si>
  <si>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</si>
  <si>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</si>
  <si>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</si>
  <si>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</si>
  <si>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</si>
  <si>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</si>
  <si>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</si>
  <si>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</si>
  <si>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</si>
  <si>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</si>
  <si>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</si>
  <si>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</si>
  <si>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</si>
  <si>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</si>
  <si>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</si>
  <si>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</si>
  <si>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</si>
  <si>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</si>
  <si>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</si>
  <si>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</si>
  <si>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</si>
  <si>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</si>
  <si>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</si>
  <si>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</si>
  <si>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</si>
  <si>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</si>
  <si>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</si>
  <si>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</si>
  <si>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</si>
  <si>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</si>
  <si>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</si>
  <si>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</si>
  <si>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</si>
  <si>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</si>
  <si>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</si>
  <si>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</si>
  <si>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</si>
  <si>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</si>
  <si>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</si>
  <si>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</si>
  <si>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</si>
  <si>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</si>
  <si>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</si>
  <si>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</si>
  <si>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</si>
  <si>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</si>
  <si>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</si>
  <si>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</si>
  <si>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</si>
  <si>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</si>
  <si>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</si>
  <si>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</si>
  <si>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</si>
  <si>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</si>
  <si>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</si>
  <si>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</si>
  <si>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</si>
  <si>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</si>
  <si>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</si>
  <si>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</si>
  <si>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</si>
  <si>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</si>
  <si>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</si>
  <si>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</si>
  <si>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</si>
  <si>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</si>
  <si>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</si>
  <si>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</si>
  <si>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</si>
  <si>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</si>
  <si>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</si>
  <si>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</si>
  <si>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</si>
  <si>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</si>
  <si>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</si>
  <si>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</si>
  <si>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</si>
  <si>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</si>
  <si>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</si>
  <si>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</si>
  <si>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</si>
  <si>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</si>
  <si>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</si>
  <si>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</si>
  <si>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</si>
  <si>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</si>
  <si>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</si>
  <si>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</si>
  <si>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</si>
  <si>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</si>
  <si>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</si>
  <si>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</si>
  <si>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</si>
  <si>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</si>
  <si>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</si>
  <si>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</si>
  <si>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</si>
  <si>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</si>
  <si>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</si>
  <si>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</si>
  <si>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</si>
  <si>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</si>
  <si>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</si>
  <si>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</si>
  <si>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</si>
  <si>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</si>
  <si>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</si>
  <si>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</si>
  <si>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</si>
  <si>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</si>
  <si>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</si>
  <si>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</si>
  <si>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</si>
  <si>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</si>
  <si>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</si>
  <si>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</si>
  <si>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</si>
  <si>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</si>
  <si>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</si>
  <si>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</si>
  <si>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</si>
  <si>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</si>
  <si>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</si>
  <si>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</si>
  <si>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</si>
  <si>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</si>
  <si>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</si>
  <si>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</si>
  <si>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</si>
  <si>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</si>
  <si>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</si>
  <si>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</si>
  <si>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</si>
  <si>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</si>
  <si>
    <t>NIP:FOSOM GLOBAL VENTURES-Moradeyo Prescilla Pry2</t>
  </si>
  <si>
    <t>NIP:OLUWAFEMI ADEBISI OYINLOLA</t>
  </si>
  <si>
    <t>NIP:OLABISI ADEOLA AUDU</t>
  </si>
  <si>
    <t>damilola oluwapeju samuel</t>
  </si>
  <si>
    <t>HAMMED ADEMOLA LATEEF</t>
  </si>
  <si>
    <t>HAMMED ZAINAB</t>
  </si>
  <si>
    <t>NIP:PRISCILLA NANAADJUA KOOMSON</t>
  </si>
  <si>
    <t>NIP:SAIDI ZAINAB</t>
  </si>
  <si>
    <t>NIP:SAFURAT OMOWUMI ISHOLA</t>
  </si>
  <si>
    <t>NIP:REBECCA BOLUWATIFE ADETUNJI</t>
  </si>
  <si>
    <t>NIP:OJEDIYA MERCY IMOH</t>
  </si>
  <si>
    <t>NIP:MODUPE ELIZABETH AGUNBIADE</t>
  </si>
  <si>
    <t>NIP:MARIAM WURAOLA ABIDOLA</t>
  </si>
  <si>
    <t>NIP:FAUSAT OLAMIDE ADERONMU</t>
  </si>
  <si>
    <t>NIP:ADETOLA ABOSEDE AWONIYI</t>
  </si>
  <si>
    <t>NIP:OMOTOLA ADEBUKONLA EMORDI</t>
  </si>
  <si>
    <t>OLADEJO JESUTOFUNMI</t>
  </si>
  <si>
    <t/>
  </si>
  <si>
    <t>BONUS</t>
  </si>
  <si>
    <t>ADEYEMI ADETOLA PRINCESS</t>
  </si>
  <si>
    <t>EMORDI FAMILY</t>
  </si>
  <si>
    <t>SAHEED AZEEMAH AND SALEEM</t>
  </si>
  <si>
    <t>AGUNBIADE</t>
  </si>
  <si>
    <t>CHRISTIANAH OLUWAKEMI</t>
  </si>
  <si>
    <t>JUNIOR SECONDARY SCHOOL 1</t>
  </si>
  <si>
    <t>AGUNBIADE CHRISTIANAH</t>
  </si>
  <si>
    <t>ADEDINI</t>
  </si>
  <si>
    <t>MARY OLUWATOFUNMI</t>
  </si>
  <si>
    <t>ADEDINI MARY</t>
  </si>
  <si>
    <t>NIP:TUNDE ADEGOKE OJO</t>
  </si>
  <si>
    <t>ADEDAYO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</si>
</sst>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85"/>
  <sheetViews>
    <sheetView tabSelected="1" zoomScaleNormal="100" workbookViewId="0">
      <pane xSplit="4" ySplit="1" topLeftCell="Z2" activePane="bottomRight" state="frozen"/>
      <selection activeCell="B16" sqref="B16"/>
      <selection pane="topRight" activeCell="B16" sqref="B16"/>
      <selection pane="bottomLeft" activeCell="B16" sqref="B16"/>
      <selection pane="bottomRight" activeCell="AA17" sqref="AA17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4000</v>
      </c>
      <c r="M2" s="24">
        <f>(1-$D2)*H2</f>
        <v>0</v>
      </c>
      <c r="N2" s="24">
        <f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>SUM(J2:Y2)</f>
        <v>51180</v>
      </c>
      <c r="AA2" s="24">
        <v>30000</v>
      </c>
      <c r="AB2" s="20">
        <f>Z2-AA2</f>
        <v>21180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">
        <v>325</v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>(1-$D3)*E3</f>
        <v>0</v>
      </c>
      <c r="K3" s="24">
        <f>(1-$D3)*F3</f>
        <v>21000</v>
      </c>
      <c r="L3" s="24">
        <f>G3</f>
        <v>4000</v>
      </c>
      <c r="M3" s="24">
        <f>(1-$D3)*H3</f>
        <v>0</v>
      </c>
      <c r="N3" s="24">
        <f>(1-$D3)*I3</f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>SUM(J3:Y3)</f>
        <v>72355</v>
      </c>
      <c r="AA3" s="24">
        <v>30000</v>
      </c>
      <c r="AB3" s="20">
        <f>Z3-AA3</f>
        <v>42355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  <c r="AF3" s="25" t="s">
        <v>325</v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>(1-$D4)*E4</f>
        <v>0</v>
      </c>
      <c r="K4" s="24">
        <f>(1-$D4)*F4</f>
        <v>40000</v>
      </c>
      <c r="L4" s="24">
        <f>G4</f>
        <v>5000</v>
      </c>
      <c r="M4" s="24">
        <f>(1-$D4)*H4</f>
        <v>2000</v>
      </c>
      <c r="N4" s="24">
        <f>(1-$D4)*I4</f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81210</v>
      </c>
      <c r="AA4" s="24">
        <v>0</v>
      </c>
      <c r="AB4" s="20">
        <f>Z4-AA4</f>
        <v>81210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  <c r="AF4" s="25" t="s">
        <v>325</v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>(1-$D5)*E5</f>
        <v>0</v>
      </c>
      <c r="K5" s="24">
        <f>(1-$D5)*F5</f>
        <v>19500</v>
      </c>
      <c r="L5" s="24">
        <f>G5</f>
        <v>4000</v>
      </c>
      <c r="M5" s="24">
        <f>(1-$D5)*H5</f>
        <v>0</v>
      </c>
      <c r="N5" s="24">
        <f>(1-$D5)*I5</f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>SUM(J5:Y5)</f>
        <v>59160</v>
      </c>
      <c r="AA5" s="24">
        <v>0</v>
      </c>
      <c r="AB5" s="20">
        <f>Z5-AA5</f>
        <v>59160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  <c r="AF5" s="25" t="s">
        <v>325</v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>(1-$D6)*E6</f>
        <v>0</v>
      </c>
      <c r="K6" s="24">
        <f>(1-$D6)*F6</f>
        <v>19500</v>
      </c>
      <c r="L6" s="24">
        <f>G6</f>
        <v>4000</v>
      </c>
      <c r="M6" s="24">
        <f>(1-$D6)*H6</f>
        <v>750</v>
      </c>
      <c r="N6" s="24">
        <f>(1-$D6)*I6</f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44280</v>
      </c>
      <c r="AA6" s="24">
        <v>0</v>
      </c>
      <c r="AB6" s="20">
        <f>Z6-AA6</f>
        <v>44280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  <c r="AF6" s="25" t="s">
        <v>325</v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>(1-$D7)*E7</f>
        <v>0</v>
      </c>
      <c r="K7" s="24">
        <f>(1-$D7)*F7</f>
        <v>19500</v>
      </c>
      <c r="L7" s="24">
        <f>G7</f>
        <v>4000</v>
      </c>
      <c r="M7" s="24">
        <f>(1-$D7)*H7</f>
        <v>0</v>
      </c>
      <c r="N7" s="24">
        <f>(1-$D7)*I7</f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44430</v>
      </c>
      <c r="AA7" s="24">
        <v>20000</v>
      </c>
      <c r="AB7" s="20">
        <f>Z7-AA7</f>
        <v>24430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  <c r="AF7" s="25" t="s">
        <v>325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>(1-$D8)*E8</f>
        <v>0</v>
      </c>
      <c r="K8" s="24">
        <f>(1-$D8)*F8</f>
        <v>19500</v>
      </c>
      <c r="L8" s="24">
        <f>G8</f>
        <v>4000</v>
      </c>
      <c r="M8" s="24">
        <f>(1-$D8)*H8</f>
        <v>750</v>
      </c>
      <c r="N8" s="24">
        <f>(1-$D8)*I8</f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>SUM(J8:Y8)</f>
        <v>50190</v>
      </c>
      <c r="AA8" s="24">
        <v>30000</v>
      </c>
      <c r="AB8" s="20">
        <f>Z8-AA8</f>
        <v>20190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  <c r="AF8" s="25" t="s">
        <v>325</v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>(1-$D9)*E9</f>
        <v>0</v>
      </c>
      <c r="K9" s="24">
        <f>(1-$D9)*F9</f>
        <v>19500</v>
      </c>
      <c r="L9" s="24">
        <f>G9</f>
        <v>4000</v>
      </c>
      <c r="M9" s="24">
        <f>(1-$D9)*H9</f>
        <v>750</v>
      </c>
      <c r="N9" s="24">
        <f>(1-$D9)*I9</f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44280</v>
      </c>
      <c r="AA9" s="24">
        <v>20000</v>
      </c>
      <c r="AB9" s="20">
        <f>Z9-AA9</f>
        <v>24280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  <c r="AF9" s="25" t="s">
        <v>325</v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>(1-$D10)*E10</f>
        <v>0</v>
      </c>
      <c r="K10" s="24">
        <f>(1-$D10)*F10</f>
        <v>21000</v>
      </c>
      <c r="L10" s="24">
        <f>G10</f>
        <v>4000</v>
      </c>
      <c r="M10" s="24">
        <f>(1-$D10)*H10</f>
        <v>0</v>
      </c>
      <c r="N10" s="24">
        <f>(1-$D10)*I10</f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69290</v>
      </c>
      <c r="AA10" s="24">
        <v>20000</v>
      </c>
      <c r="AB10" s="20">
        <f>Z10-AA10</f>
        <v>49290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  <c r="AF10" s="25" t="s">
        <v>325</v>
      </c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>(1-$D11)*E11</f>
        <v>0</v>
      </c>
      <c r="K11" s="24">
        <f>(1-$D11)*F11</f>
        <v>24750</v>
      </c>
      <c r="L11" s="24">
        <f>G11</f>
        <v>5000</v>
      </c>
      <c r="M11" s="24">
        <f>(1-$D11)*H11</f>
        <v>1500</v>
      </c>
      <c r="N11" s="24">
        <f>(1-$D11)*I11</f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>SUM(J11:Y11)</f>
        <v>78330</v>
      </c>
      <c r="AA11" s="24">
        <v>0</v>
      </c>
      <c r="AB11" s="20">
        <f>Z11-AA11</f>
        <v>78330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  <c r="AF11" s="25" t="s">
        <v>325</v>
      </c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>(1-$D12)*E12</f>
        <v>0</v>
      </c>
      <c r="K12" s="24">
        <f>(1-$D12)*F12</f>
        <v>30000</v>
      </c>
      <c r="L12" s="24">
        <f>G12</f>
        <v>5000</v>
      </c>
      <c r="M12" s="24">
        <f>(1-$D12)*H12</f>
        <v>1500</v>
      </c>
      <c r="N12" s="24">
        <f>(1-$D12)*I12</f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>SUM(J12:Y12)</f>
        <v>97250</v>
      </c>
      <c r="AA12" s="24">
        <v>0</v>
      </c>
      <c r="AB12" s="20">
        <f>Z12-AA12</f>
        <v>97250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  <c r="AF12" s="25" t="s">
        <v>325</v>
      </c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>(1-$D13)*E13</f>
        <v>0</v>
      </c>
      <c r="K13" s="24">
        <f>(1-$D13)*F13</f>
        <v>13000</v>
      </c>
      <c r="L13" s="24">
        <f>G13</f>
        <v>4000</v>
      </c>
      <c r="M13" s="24">
        <f>(1-$D13)*H13</f>
        <v>0</v>
      </c>
      <c r="N13" s="24">
        <f>(1-$D13)*I13</f>
        <v>0</v>
      </c>
      <c r="O13" s="24">
        <v>24930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>SUM(J13:Y13)</f>
        <v>52660</v>
      </c>
      <c r="AA13" s="24">
        <v>0</v>
      </c>
      <c r="AB13" s="20">
        <f>Z13-AA13</f>
        <v>52660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  <c r="AF13" s="25" t="s">
        <v>325</v>
      </c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>(1-$D14)*E14</f>
        <v>0</v>
      </c>
      <c r="K14" s="24">
        <f>(1-$D14)*F14</f>
        <v>14000</v>
      </c>
      <c r="L14" s="24">
        <f>G14</f>
        <v>4000</v>
      </c>
      <c r="M14" s="24">
        <f>(1-$D14)*H14</f>
        <v>0</v>
      </c>
      <c r="N14" s="24">
        <f>(1-$D14)*I14</f>
        <v>2500</v>
      </c>
      <c r="O14" s="24">
        <v>27310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>SUM(J14:Y14)</f>
        <v>60510</v>
      </c>
      <c r="AA14" s="24">
        <v>0</v>
      </c>
      <c r="AB14" s="20">
        <f>Z14-AA14</f>
        <v>60510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  <c r="AF14" s="25" t="s">
        <v>325</v>
      </c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0.05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>(1-$D15)*E15</f>
        <v>0</v>
      </c>
      <c r="K15" s="24">
        <f>(1-$D15)*F15</f>
        <v>24700</v>
      </c>
      <c r="L15" s="24">
        <f>G15</f>
        <v>4000</v>
      </c>
      <c r="M15" s="24">
        <f>(1-$D15)*H15</f>
        <v>950</v>
      </c>
      <c r="N15" s="24">
        <f>(1-$D15)*I15</f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>SUM(J15:Y15)</f>
        <v>40790</v>
      </c>
      <c r="AA15" s="24">
        <v>42140</v>
      </c>
      <c r="AB15" s="20">
        <f>Z15-AA15</f>
        <v>-1350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  <c r="AF15" s="25" t="s">
        <v>326</v>
      </c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>(1-$D16)*E16</f>
        <v>0</v>
      </c>
      <c r="K16" s="24">
        <f>(1-$D16)*F16</f>
        <v>19500</v>
      </c>
      <c r="L16" s="24">
        <f>G16</f>
        <v>4000</v>
      </c>
      <c r="M16" s="24">
        <f>(1-$D16)*H16</f>
        <v>0</v>
      </c>
      <c r="N16" s="24">
        <f>(1-$D16)*I16</f>
        <v>0</v>
      </c>
      <c r="O16" s="24">
        <v>24930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>SUM(J16:Y16)</f>
        <v>59160</v>
      </c>
      <c r="AA16" s="24">
        <v>40000</v>
      </c>
      <c r="AB16" s="20">
        <f>Z16-AA16</f>
        <v>19160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  <c r="AF16" s="25" t="s">
        <v>325</v>
      </c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>(1-$D17)*E17</f>
        <v>0</v>
      </c>
      <c r="K17" s="24">
        <f>(1-$D17)*F17</f>
        <v>21000</v>
      </c>
      <c r="L17" s="24">
        <f>G17</f>
        <v>4000</v>
      </c>
      <c r="M17" s="24">
        <f>(1-$D17)*H17</f>
        <v>0</v>
      </c>
      <c r="N17" s="24">
        <f>(1-$D17)*I17</f>
        <v>3750</v>
      </c>
      <c r="O17" s="24">
        <v>27310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69290</v>
      </c>
      <c r="AA17" s="24">
        <v>40000</v>
      </c>
      <c r="AB17" s="20">
        <f>Z17-AA17</f>
        <v>29290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  <c r="AF17" s="25" t="s">
        <v>325</v>
      </c>
    </row>
    <row r="18" spans="1:32" x14ac:dyDescent="0.25">
      <c r="A18" s="22" t="s">
        <v>334</v>
      </c>
      <c r="B18" s="22" t="s">
        <v>335</v>
      </c>
      <c r="C18" s="22" t="s">
        <v>97</v>
      </c>
      <c r="D18" s="23">
        <v>0</v>
      </c>
      <c r="E18" s="24">
        <v>3000</v>
      </c>
      <c r="F18" s="24">
        <v>40000</v>
      </c>
      <c r="G18" s="24">
        <v>5000</v>
      </c>
      <c r="H18" s="24">
        <v>2000</v>
      </c>
      <c r="I18" s="24">
        <v>8000</v>
      </c>
      <c r="J18" s="24">
        <f>(1-$D18)*E18</f>
        <v>3000</v>
      </c>
      <c r="K18" s="24">
        <f>(1-$D18)*F18</f>
        <v>40000</v>
      </c>
      <c r="L18" s="24">
        <f>G18</f>
        <v>5000</v>
      </c>
      <c r="M18" s="24">
        <f>(1-$D18)*H18</f>
        <v>2000</v>
      </c>
      <c r="N18" s="24">
        <f>(1-$D18)*I18</f>
        <v>8000</v>
      </c>
      <c r="O18" s="24">
        <v>11880</v>
      </c>
      <c r="P18" s="24">
        <v>14330</v>
      </c>
      <c r="Q18" s="24">
        <v>20000</v>
      </c>
      <c r="R18" s="24">
        <v>8000</v>
      </c>
      <c r="S18" s="24">
        <v>8000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120210</v>
      </c>
      <c r="AA18" s="24">
        <v>120210</v>
      </c>
      <c r="AB18" s="20">
        <f>Z18-AA18</f>
        <v>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  <c r="AF18" s="25"/>
    </row>
    <row r="19" spans="1:32" x14ac:dyDescent="0.25">
      <c r="A19" s="22" t="s">
        <v>42</v>
      </c>
      <c r="B19" s="22" t="s">
        <v>141</v>
      </c>
      <c r="C19" s="22" t="s">
        <v>30</v>
      </c>
      <c r="D19" s="23">
        <v>0.3</v>
      </c>
      <c r="E19" s="24">
        <v>0</v>
      </c>
      <c r="F19" s="24">
        <v>26000</v>
      </c>
      <c r="G19" s="24">
        <v>4000</v>
      </c>
      <c r="H19" s="24">
        <v>1000</v>
      </c>
      <c r="I19" s="24">
        <v>0</v>
      </c>
      <c r="J19" s="24">
        <f>(1-$D19)*E19</f>
        <v>0</v>
      </c>
      <c r="K19" s="24">
        <f>(1-$D19)*F19</f>
        <v>18200</v>
      </c>
      <c r="L19" s="24">
        <f>G19</f>
        <v>4000</v>
      </c>
      <c r="M19" s="24">
        <f>(1-$D19)*H19</f>
        <v>700</v>
      </c>
      <c r="N19" s="24">
        <f>(1-$D19)*I19</f>
        <v>0</v>
      </c>
      <c r="O19" s="24">
        <v>12480</v>
      </c>
      <c r="P19" s="24">
        <v>7550</v>
      </c>
      <c r="Q19" s="24">
        <v>0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>SUM(J19:Y19)</f>
        <v>42930</v>
      </c>
      <c r="AA19" s="24">
        <v>42930</v>
      </c>
      <c r="AB19" s="20">
        <f>Z19-AA19</f>
        <v>0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  <c r="AF19" s="25" t="s">
        <v>326</v>
      </c>
    </row>
    <row r="20" spans="1:32" x14ac:dyDescent="0.25">
      <c r="A20" s="22" t="s">
        <v>42</v>
      </c>
      <c r="B20" s="22" t="s">
        <v>43</v>
      </c>
      <c r="C20" s="22" t="s">
        <v>33</v>
      </c>
      <c r="D20" s="23">
        <v>0.3</v>
      </c>
      <c r="E20" s="24">
        <v>0</v>
      </c>
      <c r="F20" s="24">
        <v>28000</v>
      </c>
      <c r="G20" s="24">
        <v>4000</v>
      </c>
      <c r="H20" s="24">
        <v>2500</v>
      </c>
      <c r="I20" s="24">
        <v>5000</v>
      </c>
      <c r="J20" s="24">
        <f>(1-$D20)*E20</f>
        <v>0</v>
      </c>
      <c r="K20" s="24">
        <f>(1-$D20)*F20</f>
        <v>19600</v>
      </c>
      <c r="L20" s="24">
        <f>G20</f>
        <v>4000</v>
      </c>
      <c r="M20" s="24">
        <f>(1-$D20)*H20</f>
        <v>1750</v>
      </c>
      <c r="N20" s="24">
        <f>(1-$D20)*I20</f>
        <v>3500</v>
      </c>
      <c r="O20" s="24">
        <v>25970</v>
      </c>
      <c r="P20" s="24">
        <v>11330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72150</v>
      </c>
      <c r="AA20" s="24">
        <v>72150</v>
      </c>
      <c r="AB20" s="20">
        <f>Z20-AA20</f>
        <v>0</v>
      </c>
      <c r="AC20" s="24">
        <f>IF(AND($T20=6000, ($T20+$W20-$AB20)&gt;=6000),T20,"")</f>
        <v>6000</v>
      </c>
      <c r="AD20" s="24" t="str">
        <f>IF(AND($T20=8000, ($T20+$W20-$AB20)&gt;=8000),T20,"")</f>
        <v/>
      </c>
      <c r="AE20" s="24" t="str">
        <f>IF(($T20+$W20-$AB20)&gt;=$T20+8000,W20,"")</f>
        <v/>
      </c>
      <c r="AF20" s="25" t="s">
        <v>326</v>
      </c>
    </row>
    <row r="21" spans="1:32" x14ac:dyDescent="0.25">
      <c r="A21" s="22" t="s">
        <v>42</v>
      </c>
      <c r="B21" s="22" t="s">
        <v>45</v>
      </c>
      <c r="C21" s="22" t="s">
        <v>248</v>
      </c>
      <c r="D21" s="23">
        <v>0.25</v>
      </c>
      <c r="E21" s="24">
        <v>0</v>
      </c>
      <c r="F21" s="24">
        <v>28000</v>
      </c>
      <c r="G21" s="24">
        <v>4000</v>
      </c>
      <c r="H21" s="24">
        <v>0</v>
      </c>
      <c r="I21" s="24">
        <v>5000</v>
      </c>
      <c r="J21" s="24">
        <f>(1-$D21)*E21</f>
        <v>0</v>
      </c>
      <c r="K21" s="24">
        <f>(1-$D21)*F21</f>
        <v>21000</v>
      </c>
      <c r="L21" s="24">
        <f>G21</f>
        <v>4000</v>
      </c>
      <c r="M21" s="24">
        <f>(1-$D21)*H21</f>
        <v>0</v>
      </c>
      <c r="N21" s="24">
        <f>(1-$D21)*I21</f>
        <v>3750</v>
      </c>
      <c r="O21" s="24">
        <v>28790</v>
      </c>
      <c r="P21" s="24">
        <v>13230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>SUM(J21:Y21)</f>
        <v>76770</v>
      </c>
      <c r="AA21" s="24">
        <v>37535</v>
      </c>
      <c r="AB21" s="20">
        <f>Z21-AA21</f>
        <v>39235</v>
      </c>
      <c r="AC21" s="24" t="str">
        <f>IF(AND($T21=6000, ($T21+$W21-$AB21)&gt;=6000),T21,"")</f>
        <v/>
      </c>
      <c r="AD21" s="24" t="str">
        <f>IF(AND($T21=8000, ($T21+$W21-$AB21)&gt;=8000),T21,"")</f>
        <v/>
      </c>
      <c r="AE21" s="24" t="str">
        <f>IF(($T21+$W21-$AB21)&gt;=$T21+8000,W21,"")</f>
        <v/>
      </c>
      <c r="AF21" s="25" t="s">
        <v>325</v>
      </c>
    </row>
    <row r="22" spans="1:32" x14ac:dyDescent="0.25">
      <c r="A22" s="22" t="s">
        <v>50</v>
      </c>
      <c r="B22" s="22" t="s">
        <v>51</v>
      </c>
      <c r="C22" s="22" t="s">
        <v>67</v>
      </c>
      <c r="D22" s="23">
        <v>0.5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>(1-$D22)*E22</f>
        <v>0</v>
      </c>
      <c r="K22" s="24">
        <f>(1-$D22)*F22</f>
        <v>16500</v>
      </c>
      <c r="L22" s="24">
        <f>G22</f>
        <v>5000</v>
      </c>
      <c r="M22" s="24">
        <f>(1-$D22)*H22</f>
        <v>1000</v>
      </c>
      <c r="N22" s="24">
        <f>(1-$D22)*I22</f>
        <v>3000</v>
      </c>
      <c r="O22" s="24">
        <v>22400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62230</v>
      </c>
      <c r="AA22" s="24">
        <v>0</v>
      </c>
      <c r="AB22" s="20">
        <f>Z22-AA22</f>
        <v>62230</v>
      </c>
      <c r="AC22" s="24" t="str">
        <f>IF(AND($T22=6000, ($T22+$W22-$AB22)&gt;=6000),T22,"")</f>
        <v/>
      </c>
      <c r="AD22" s="24" t="str">
        <f>IF(AND($T22=8000, ($T22+$W22-$AB22)&gt;=8000),T22,"")</f>
        <v/>
      </c>
      <c r="AE22" s="24" t="str">
        <f>IF(($T22+$W22-$AB22)&gt;=$T22+8000,W22,"")</f>
        <v/>
      </c>
      <c r="AF22" s="25" t="s">
        <v>325</v>
      </c>
    </row>
    <row r="23" spans="1:32" x14ac:dyDescent="0.25">
      <c r="A23" s="22" t="s">
        <v>53</v>
      </c>
      <c r="B23" s="22" t="s">
        <v>56</v>
      </c>
      <c r="C23" s="22" t="s">
        <v>36</v>
      </c>
      <c r="D23" s="23">
        <v>0.3</v>
      </c>
      <c r="E23" s="24">
        <v>0</v>
      </c>
      <c r="F23" s="24">
        <v>33000</v>
      </c>
      <c r="G23" s="24">
        <v>5000</v>
      </c>
      <c r="H23" s="24">
        <v>2000</v>
      </c>
      <c r="I23" s="24">
        <v>6000</v>
      </c>
      <c r="J23" s="24">
        <f>(1-$D23)*E23</f>
        <v>0</v>
      </c>
      <c r="K23" s="24">
        <f>(1-$D23)*F23</f>
        <v>23100</v>
      </c>
      <c r="L23" s="24">
        <f>G23</f>
        <v>5000</v>
      </c>
      <c r="M23" s="24">
        <f>(1-$D23)*H23</f>
        <v>1400</v>
      </c>
      <c r="N23" s="24">
        <f>(1-$D23)*I23</f>
        <v>4200</v>
      </c>
      <c r="O23" s="24">
        <v>19500</v>
      </c>
      <c r="P23" s="24">
        <v>14330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67530</v>
      </c>
      <c r="AA23" s="24">
        <v>0</v>
      </c>
      <c r="AB23" s="20">
        <f>Z23-AA23</f>
        <v>67530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  <c r="AF23" s="25" t="s">
        <v>325</v>
      </c>
    </row>
    <row r="24" spans="1:32" x14ac:dyDescent="0.25">
      <c r="A24" s="22" t="s">
        <v>53</v>
      </c>
      <c r="B24" s="22" t="s">
        <v>54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>(1-$D24)*E24</f>
        <v>0</v>
      </c>
      <c r="K24" s="24">
        <f>(1-$D24)*F24</f>
        <v>21000</v>
      </c>
      <c r="L24" s="24">
        <f>G24</f>
        <v>4000</v>
      </c>
      <c r="M24" s="24">
        <f>(1-$D24)*H24</f>
        <v>0</v>
      </c>
      <c r="N24" s="24">
        <f>(1-$D24)*I24</f>
        <v>3750</v>
      </c>
      <c r="O24" s="24">
        <v>26150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66230</v>
      </c>
      <c r="AA24" s="24">
        <v>0</v>
      </c>
      <c r="AB24" s="20">
        <f>Z24-AA24</f>
        <v>66230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  <c r="AF24" s="25" t="s">
        <v>325</v>
      </c>
    </row>
    <row r="25" spans="1:32" x14ac:dyDescent="0.25">
      <c r="A25" s="22" t="s">
        <v>53</v>
      </c>
      <c r="B25" s="22" t="s">
        <v>55</v>
      </c>
      <c r="C25" s="22" t="s">
        <v>48</v>
      </c>
      <c r="D25" s="23">
        <v>0.25</v>
      </c>
      <c r="E25" s="24">
        <v>0</v>
      </c>
      <c r="F25" s="24">
        <v>28000</v>
      </c>
      <c r="G25" s="24">
        <v>4000</v>
      </c>
      <c r="H25" s="24">
        <v>0</v>
      </c>
      <c r="I25" s="24">
        <v>5000</v>
      </c>
      <c r="J25" s="24">
        <f>(1-$D25)*E25</f>
        <v>0</v>
      </c>
      <c r="K25" s="24">
        <f>(1-$D25)*F25</f>
        <v>21000</v>
      </c>
      <c r="L25" s="24">
        <f>G25</f>
        <v>4000</v>
      </c>
      <c r="M25" s="24">
        <f>(1-$D25)*H25</f>
        <v>0</v>
      </c>
      <c r="N25" s="24">
        <f>(1-$D25)*I25</f>
        <v>3750</v>
      </c>
      <c r="O25" s="24">
        <v>26150</v>
      </c>
      <c r="P25" s="24">
        <v>11330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66230</v>
      </c>
      <c r="AA25" s="24">
        <v>0</v>
      </c>
      <c r="AB25" s="20">
        <f>Z25-AA25</f>
        <v>66230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  <c r="AF25" s="25" t="s">
        <v>325</v>
      </c>
    </row>
    <row r="26" spans="1:32" x14ac:dyDescent="0.25">
      <c r="A26" s="22" t="s">
        <v>57</v>
      </c>
      <c r="B26" s="22" t="s">
        <v>179</v>
      </c>
      <c r="C26" s="22" t="s">
        <v>36</v>
      </c>
      <c r="D26" s="23">
        <v>0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>(1-$D26)*E26</f>
        <v>0</v>
      </c>
      <c r="K26" s="24">
        <f>(1-$D26)*F26</f>
        <v>33000</v>
      </c>
      <c r="L26" s="24">
        <f>G26</f>
        <v>5000</v>
      </c>
      <c r="M26" s="24">
        <f>(1-$D26)*H26</f>
        <v>2000</v>
      </c>
      <c r="N26" s="24">
        <f>(1-$D26)*I26</f>
        <v>6000</v>
      </c>
      <c r="O26" s="24">
        <v>19500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79830</v>
      </c>
      <c r="AA26" s="24">
        <v>60000</v>
      </c>
      <c r="AB26" s="20">
        <f>Z26-AA26</f>
        <v>19830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  <c r="AF26" s="25" t="s">
        <v>325</v>
      </c>
    </row>
    <row r="27" spans="1:32" x14ac:dyDescent="0.25">
      <c r="A27" s="22" t="s">
        <v>57</v>
      </c>
      <c r="B27" s="22" t="s">
        <v>58</v>
      </c>
      <c r="C27" s="22" t="s">
        <v>67</v>
      </c>
      <c r="D27" s="23">
        <v>0.55000000000000004</v>
      </c>
      <c r="E27" s="24">
        <v>0</v>
      </c>
      <c r="F27" s="24">
        <v>33000</v>
      </c>
      <c r="G27" s="24">
        <v>5000</v>
      </c>
      <c r="H27" s="24">
        <v>2000</v>
      </c>
      <c r="I27" s="24">
        <v>6000</v>
      </c>
      <c r="J27" s="24">
        <f>(1-$D27)*E27</f>
        <v>0</v>
      </c>
      <c r="K27" s="24">
        <f>(1-$D27)*F27</f>
        <v>14849.999999999998</v>
      </c>
      <c r="L27" s="24">
        <f>G27</f>
        <v>5000</v>
      </c>
      <c r="M27" s="24">
        <f>(1-$D27)*H27</f>
        <v>899.99999999999989</v>
      </c>
      <c r="N27" s="24">
        <f>(1-$D27)*I27</f>
        <v>2699.9999999999995</v>
      </c>
      <c r="O27" s="24">
        <v>22400</v>
      </c>
      <c r="P27" s="24">
        <v>14330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f>SUM(J27:Y27)</f>
        <v>60180</v>
      </c>
      <c r="AA27" s="24">
        <v>62230</v>
      </c>
      <c r="AB27" s="20">
        <f>Z27-AA27</f>
        <v>-2050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  <c r="AF27" s="25" t="s">
        <v>326</v>
      </c>
    </row>
    <row r="28" spans="1:32" x14ac:dyDescent="0.25">
      <c r="A28" s="22" t="s">
        <v>57</v>
      </c>
      <c r="B28" s="22" t="s">
        <v>142</v>
      </c>
      <c r="C28" s="22" t="s">
        <v>30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>(1-$D28)*E28</f>
        <v>0</v>
      </c>
      <c r="K28" s="24">
        <f>(1-$D28)*F28</f>
        <v>26000</v>
      </c>
      <c r="L28" s="24">
        <f>G28</f>
        <v>4000</v>
      </c>
      <c r="M28" s="24">
        <f>(1-$D28)*H28</f>
        <v>1000</v>
      </c>
      <c r="N28" s="24">
        <f>(1-$D28)*I28</f>
        <v>0</v>
      </c>
      <c r="O28" s="24">
        <v>12480</v>
      </c>
      <c r="P28" s="24">
        <v>7550</v>
      </c>
      <c r="Q28" s="24">
        <v>0</v>
      </c>
      <c r="R28" s="24">
        <v>0</v>
      </c>
      <c r="S28" s="24">
        <v>0</v>
      </c>
      <c r="T28" s="24">
        <v>6000</v>
      </c>
      <c r="U28" s="24">
        <v>0</v>
      </c>
      <c r="V28" s="24">
        <v>0</v>
      </c>
      <c r="W28" s="24">
        <v>0</v>
      </c>
      <c r="X28" s="24">
        <v>0</v>
      </c>
      <c r="Y28" s="24">
        <v>-400</v>
      </c>
      <c r="Z28" s="24">
        <f>SUM(J28:Y28)</f>
        <v>56630</v>
      </c>
      <c r="AA28" s="24">
        <v>0</v>
      </c>
      <c r="AB28" s="20">
        <f>Z28-AA28</f>
        <v>56630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  <c r="AF28" s="25" t="s">
        <v>325</v>
      </c>
    </row>
    <row r="29" spans="1:32" x14ac:dyDescent="0.25">
      <c r="A29" s="22" t="s">
        <v>203</v>
      </c>
      <c r="B29" s="22" t="s">
        <v>214</v>
      </c>
      <c r="C29" s="22" t="s">
        <v>49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>(1-$D29)*E29</f>
        <v>0</v>
      </c>
      <c r="K29" s="24">
        <f>(1-$D29)*F29</f>
        <v>26000</v>
      </c>
      <c r="L29" s="24">
        <f>G29</f>
        <v>4000</v>
      </c>
      <c r="M29" s="24">
        <f>(1-$D29)*H29</f>
        <v>1000</v>
      </c>
      <c r="N29" s="24">
        <f>(1-$D29)*I29</f>
        <v>0</v>
      </c>
      <c r="O29" s="24">
        <v>6840</v>
      </c>
      <c r="P29" s="24">
        <v>5300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f>SUM(J29:Y29)</f>
        <v>43140</v>
      </c>
      <c r="AA29" s="24">
        <v>0</v>
      </c>
      <c r="AB29" s="20">
        <f>Z29-AA29</f>
        <v>43140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  <c r="AF29" s="25" t="s">
        <v>325</v>
      </c>
    </row>
    <row r="30" spans="1:32" x14ac:dyDescent="0.25">
      <c r="A30" s="22" t="s">
        <v>38</v>
      </c>
      <c r="B30" s="22" t="s">
        <v>202</v>
      </c>
      <c r="C30" s="22" t="s">
        <v>30</v>
      </c>
      <c r="D30" s="23">
        <v>0</v>
      </c>
      <c r="E30" s="24">
        <v>0</v>
      </c>
      <c r="F30" s="24">
        <v>26000</v>
      </c>
      <c r="G30" s="24">
        <v>4000</v>
      </c>
      <c r="H30" s="24">
        <v>1000</v>
      </c>
      <c r="I30" s="24">
        <v>0</v>
      </c>
      <c r="J30" s="24">
        <f>(1-$D30)*E30</f>
        <v>0</v>
      </c>
      <c r="K30" s="24">
        <f>(1-$D30)*F30</f>
        <v>26000</v>
      </c>
      <c r="L30" s="24">
        <f>G30</f>
        <v>4000</v>
      </c>
      <c r="M30" s="24">
        <f>(1-$D30)*H30</f>
        <v>1000</v>
      </c>
      <c r="N30" s="24">
        <f>(1-$D30)*I30</f>
        <v>0</v>
      </c>
      <c r="O30" s="24">
        <v>12480</v>
      </c>
      <c r="P30" s="24">
        <v>7550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11000</v>
      </c>
      <c r="Z30" s="24">
        <f>SUM(J30:Y30)</f>
        <v>62030</v>
      </c>
      <c r="AA30" s="24">
        <v>0</v>
      </c>
      <c r="AB30" s="20">
        <f>Z30-AA30</f>
        <v>62030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  <c r="AF30" s="25" t="s">
        <v>325</v>
      </c>
    </row>
    <row r="31" spans="1:32" x14ac:dyDescent="0.25">
      <c r="A31" s="22" t="s">
        <v>38</v>
      </c>
      <c r="B31" s="22" t="s">
        <v>200</v>
      </c>
      <c r="C31" s="22" t="s">
        <v>70</v>
      </c>
      <c r="D31" s="23">
        <v>0</v>
      </c>
      <c r="E31" s="24">
        <v>0</v>
      </c>
      <c r="F31" s="24">
        <v>40000</v>
      </c>
      <c r="G31" s="24">
        <v>5000</v>
      </c>
      <c r="H31" s="24">
        <v>2000</v>
      </c>
      <c r="I31" s="24">
        <v>8000</v>
      </c>
      <c r="J31" s="24">
        <f>(1-$D31)*E31</f>
        <v>0</v>
      </c>
      <c r="K31" s="24">
        <f>(1-$D31)*F31</f>
        <v>40000</v>
      </c>
      <c r="L31" s="24">
        <f>G31</f>
        <v>5000</v>
      </c>
      <c r="M31" s="24">
        <f>(1-$D31)*H31</f>
        <v>2000</v>
      </c>
      <c r="N31" s="24">
        <f>(1-$D31)*I31</f>
        <v>8000</v>
      </c>
      <c r="O31" s="24">
        <v>11880</v>
      </c>
      <c r="P31" s="24">
        <v>14330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>SUM(J31:Y31)</f>
        <v>81210</v>
      </c>
      <c r="AA31" s="24">
        <v>40000</v>
      </c>
      <c r="AB31" s="20">
        <f>Z31-AA31</f>
        <v>41210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  <c r="AF31" s="25" t="s">
        <v>325</v>
      </c>
    </row>
    <row r="32" spans="1:32" x14ac:dyDescent="0.25">
      <c r="A32" s="22" t="s">
        <v>188</v>
      </c>
      <c r="B32" s="22" t="s">
        <v>190</v>
      </c>
      <c r="C32" s="22" t="s">
        <v>49</v>
      </c>
      <c r="D32" s="23">
        <v>0.05</v>
      </c>
      <c r="E32" s="24">
        <v>0</v>
      </c>
      <c r="F32" s="24">
        <v>26000</v>
      </c>
      <c r="G32" s="24">
        <v>4000</v>
      </c>
      <c r="H32" s="24">
        <v>1000</v>
      </c>
      <c r="I32" s="24">
        <v>0</v>
      </c>
      <c r="J32" s="24">
        <f>(1-$D32)*E32</f>
        <v>0</v>
      </c>
      <c r="K32" s="24">
        <f>(1-$D32)*F32</f>
        <v>24700</v>
      </c>
      <c r="L32" s="24">
        <f>G32</f>
        <v>4000</v>
      </c>
      <c r="M32" s="24">
        <f>(1-$D32)*H32</f>
        <v>950</v>
      </c>
      <c r="N32" s="24">
        <f>(1-$D32)*I32</f>
        <v>0</v>
      </c>
      <c r="O32" s="24">
        <v>6840</v>
      </c>
      <c r="P32" s="24">
        <v>5300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>SUM(J32:Y32)</f>
        <v>41790</v>
      </c>
      <c r="AA32" s="24">
        <v>43140</v>
      </c>
      <c r="AB32" s="20">
        <f>Z32-AA32</f>
        <v>-1350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  <c r="AF32" s="25" t="s">
        <v>326</v>
      </c>
    </row>
    <row r="33" spans="1:32" x14ac:dyDescent="0.25">
      <c r="A33" s="22" t="s">
        <v>330</v>
      </c>
      <c r="B33" s="22" t="s">
        <v>331</v>
      </c>
      <c r="C33" s="22" t="s">
        <v>332</v>
      </c>
      <c r="D33" s="23">
        <v>0</v>
      </c>
      <c r="E33" s="24">
        <v>3000</v>
      </c>
      <c r="F33" s="24">
        <v>33000</v>
      </c>
      <c r="G33" s="24">
        <v>5000</v>
      </c>
      <c r="H33" s="24">
        <v>2000</v>
      </c>
      <c r="I33" s="24">
        <v>6000</v>
      </c>
      <c r="J33" s="24">
        <f>(1-$D33)*E33</f>
        <v>3000</v>
      </c>
      <c r="K33" s="24">
        <f>(1-$D33)*F33</f>
        <v>33000</v>
      </c>
      <c r="L33" s="24">
        <f>G33</f>
        <v>5000</v>
      </c>
      <c r="M33" s="24">
        <f>(1-$D33)*H33</f>
        <v>2000</v>
      </c>
      <c r="N33" s="24">
        <f>(1-$D33)*I33</f>
        <v>6000</v>
      </c>
      <c r="O33" s="24">
        <v>19320</v>
      </c>
      <c r="P33" s="24">
        <v>16190</v>
      </c>
      <c r="Q33" s="24">
        <v>12000</v>
      </c>
      <c r="R33" s="24">
        <v>8000</v>
      </c>
      <c r="S33" s="24">
        <v>8000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>SUM(J33:Y33)</f>
        <v>112510</v>
      </c>
      <c r="AA33" s="24">
        <v>60000</v>
      </c>
      <c r="AB33" s="20">
        <f>Z33-AA33</f>
        <v>52510</v>
      </c>
      <c r="AC33" s="24" t="str">
        <f>IF(AND($T33=6000, ($T33+$W33-$AB33)&gt;=6000),T33,"")</f>
        <v/>
      </c>
      <c r="AD33" s="24" t="str">
        <f>IF(AND($T33=8000, ($T33+$W33-$AB33)&gt;=8000),T33,"")</f>
        <v/>
      </c>
      <c r="AE33" s="24" t="str">
        <f>IF(($T33+$W33-$AB33)&gt;=$T33+8000,W33,"")</f>
        <v/>
      </c>
      <c r="AF33" s="25"/>
    </row>
    <row r="34" spans="1:32" x14ac:dyDescent="0.25">
      <c r="A34" s="22" t="s">
        <v>143</v>
      </c>
      <c r="B34" s="22" t="s">
        <v>240</v>
      </c>
      <c r="C34" s="22" t="s">
        <v>252</v>
      </c>
      <c r="D34" s="23">
        <v>0.25</v>
      </c>
      <c r="E34" s="24">
        <v>0</v>
      </c>
      <c r="F34" s="24">
        <v>26000</v>
      </c>
      <c r="G34" s="24">
        <v>2000</v>
      </c>
      <c r="H34" s="24">
        <v>0</v>
      </c>
      <c r="I34" s="24">
        <v>0</v>
      </c>
      <c r="J34" s="24">
        <f>(1-$D34)*E34</f>
        <v>0</v>
      </c>
      <c r="K34" s="24">
        <f>(1-$D34)*F34</f>
        <v>19500</v>
      </c>
      <c r="L34" s="24">
        <f>G34</f>
        <v>2000</v>
      </c>
      <c r="M34" s="24">
        <f>(1-$D34)*H34</f>
        <v>0</v>
      </c>
      <c r="N34" s="24">
        <f>(1-$D34)*I34</f>
        <v>0</v>
      </c>
      <c r="O34" s="24">
        <v>0</v>
      </c>
      <c r="P34" s="24">
        <v>3050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>SUM(J34:Y34)</f>
        <v>24550</v>
      </c>
      <c r="AA34" s="24">
        <v>1300</v>
      </c>
      <c r="AB34" s="20">
        <f>Z34-AA34</f>
        <v>23250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  <c r="AF34" s="25" t="s">
        <v>325</v>
      </c>
    </row>
    <row r="35" spans="1:32" x14ac:dyDescent="0.25">
      <c r="A35" s="22" t="s">
        <v>143</v>
      </c>
      <c r="B35" s="22" t="s">
        <v>144</v>
      </c>
      <c r="C35" s="22" t="s">
        <v>44</v>
      </c>
      <c r="D35" s="23">
        <v>0.3</v>
      </c>
      <c r="E35" s="24">
        <v>0</v>
      </c>
      <c r="F35" s="24">
        <v>26000</v>
      </c>
      <c r="G35" s="24">
        <v>4000</v>
      </c>
      <c r="H35" s="24">
        <v>0</v>
      </c>
      <c r="I35" s="24">
        <v>0</v>
      </c>
      <c r="J35" s="24">
        <f>(1-$D35)*E35</f>
        <v>0</v>
      </c>
      <c r="K35" s="24">
        <f>(1-$D35)*F35</f>
        <v>18200</v>
      </c>
      <c r="L35" s="24">
        <f>G35</f>
        <v>4000</v>
      </c>
      <c r="M35" s="24">
        <f>(1-$D35)*H35</f>
        <v>0</v>
      </c>
      <c r="N35" s="24">
        <f>(1-$D35)*I35</f>
        <v>0</v>
      </c>
      <c r="O35" s="24">
        <v>13380</v>
      </c>
      <c r="P35" s="24">
        <v>7550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>SUM(J35:Y35)</f>
        <v>49130</v>
      </c>
      <c r="AA35" s="24">
        <v>49130</v>
      </c>
      <c r="AB35" s="20">
        <f>Z35-AA35</f>
        <v>0</v>
      </c>
      <c r="AC35" s="24">
        <f>IF(AND($T35=6000, ($T35+$W35-$AB35)&gt;=6000),T35,"")</f>
        <v>6000</v>
      </c>
      <c r="AD35" s="24" t="str">
        <f>IF(AND($T35=8000, ($T35+$W35-$AB35)&gt;=8000),T35,"")</f>
        <v/>
      </c>
      <c r="AE35" s="24" t="str">
        <f>IF(($T35+$W35-$AB35)&gt;=$T35+8000,W35,"")</f>
        <v/>
      </c>
      <c r="AF35" s="25" t="s">
        <v>326</v>
      </c>
    </row>
    <row r="36" spans="1:32" x14ac:dyDescent="0.25">
      <c r="A36" s="22" t="s">
        <v>60</v>
      </c>
      <c r="B36" s="22" t="s">
        <v>62</v>
      </c>
      <c r="C36" s="22" t="s">
        <v>47</v>
      </c>
      <c r="D36" s="23">
        <v>0.25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>(1-$D36)*E36</f>
        <v>0</v>
      </c>
      <c r="K36" s="24">
        <f>(1-$D36)*F36</f>
        <v>19500</v>
      </c>
      <c r="L36" s="24">
        <f>G36</f>
        <v>4000</v>
      </c>
      <c r="M36" s="24">
        <f>(1-$D36)*H36</f>
        <v>0</v>
      </c>
      <c r="N36" s="24">
        <f>(1-$D36)*I36</f>
        <v>0</v>
      </c>
      <c r="O36" s="24">
        <v>24930</v>
      </c>
      <c r="P36" s="24">
        <v>10730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65160</v>
      </c>
      <c r="AA36" s="24">
        <v>0</v>
      </c>
      <c r="AB36" s="20">
        <f>Z36-AA36</f>
        <v>65160</v>
      </c>
      <c r="AC36" s="24" t="str">
        <f>IF(AND($T36=6000, ($T36+$W36-$AB36)&gt;=6000),T36,"")</f>
        <v/>
      </c>
      <c r="AD36" s="24" t="str">
        <f>IF(AND($T36=8000, ($T36+$W36-$AB36)&gt;=8000),T36,"")</f>
        <v/>
      </c>
      <c r="AE36" s="24" t="str">
        <f>IF(($T36+$W36-$AB36)&gt;=$T36+8000,W36,"")</f>
        <v/>
      </c>
      <c r="AF36" s="25" t="s">
        <v>325</v>
      </c>
    </row>
    <row r="37" spans="1:32" x14ac:dyDescent="0.25">
      <c r="A37" s="22" t="s">
        <v>60</v>
      </c>
      <c r="B37" s="22" t="s">
        <v>61</v>
      </c>
      <c r="C37" s="22" t="s">
        <v>48</v>
      </c>
      <c r="D37" s="23">
        <v>0.25</v>
      </c>
      <c r="E37" s="24">
        <v>0</v>
      </c>
      <c r="F37" s="24">
        <v>28000</v>
      </c>
      <c r="G37" s="24">
        <v>4000</v>
      </c>
      <c r="H37" s="24">
        <v>0</v>
      </c>
      <c r="I37" s="24">
        <v>5000</v>
      </c>
      <c r="J37" s="24">
        <f>(1-$D37)*E37</f>
        <v>0</v>
      </c>
      <c r="K37" s="24">
        <f>(1-$D37)*F37</f>
        <v>21000</v>
      </c>
      <c r="L37" s="24">
        <f>G37</f>
        <v>4000</v>
      </c>
      <c r="M37" s="24">
        <f>(1-$D37)*H37</f>
        <v>0</v>
      </c>
      <c r="N37" s="24">
        <f>(1-$D37)*I37</f>
        <v>3750</v>
      </c>
      <c r="O37" s="24">
        <v>26150</v>
      </c>
      <c r="P37" s="24">
        <v>11330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250</v>
      </c>
      <c r="Z37" s="24">
        <f>SUM(J37:Y37)</f>
        <v>72480</v>
      </c>
      <c r="AA37" s="24">
        <v>0</v>
      </c>
      <c r="AB37" s="20">
        <f>Z37-AA37</f>
        <v>72480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  <c r="AF37" s="25" t="s">
        <v>325</v>
      </c>
    </row>
    <row r="38" spans="1:32" x14ac:dyDescent="0.25">
      <c r="A38" s="22" t="s">
        <v>187</v>
      </c>
      <c r="B38" s="22" t="s">
        <v>201</v>
      </c>
      <c r="C38" s="22" t="s">
        <v>49</v>
      </c>
      <c r="D38" s="23">
        <v>0</v>
      </c>
      <c r="E38" s="24">
        <v>0</v>
      </c>
      <c r="F38" s="24">
        <v>26000</v>
      </c>
      <c r="G38" s="24">
        <v>4000</v>
      </c>
      <c r="H38" s="24">
        <v>1000</v>
      </c>
      <c r="I38" s="24">
        <v>0</v>
      </c>
      <c r="J38" s="24">
        <f>(1-$D38)*E38</f>
        <v>0</v>
      </c>
      <c r="K38" s="24">
        <f>(1-$D38)*F38</f>
        <v>26000</v>
      </c>
      <c r="L38" s="24">
        <f>G38</f>
        <v>4000</v>
      </c>
      <c r="M38" s="24">
        <f>(1-$D38)*H38</f>
        <v>1000</v>
      </c>
      <c r="N38" s="24">
        <f>(1-$D38)*I38</f>
        <v>0</v>
      </c>
      <c r="O38" s="24">
        <v>6840</v>
      </c>
      <c r="P38" s="24">
        <v>5300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>SUM(J38:Y38)</f>
        <v>43140</v>
      </c>
      <c r="AA38" s="24">
        <v>28000</v>
      </c>
      <c r="AB38" s="20">
        <f>Z38-AA38</f>
        <v>15140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  <c r="AF38" s="25" t="s">
        <v>325</v>
      </c>
    </row>
    <row r="39" spans="1:32" x14ac:dyDescent="0.25">
      <c r="A39" s="22" t="s">
        <v>63</v>
      </c>
      <c r="B39" s="22" t="s">
        <v>54</v>
      </c>
      <c r="C39" s="22" t="s">
        <v>44</v>
      </c>
      <c r="D39" s="23">
        <v>0</v>
      </c>
      <c r="E39" s="24">
        <v>0</v>
      </c>
      <c r="F39" s="24">
        <v>26000</v>
      </c>
      <c r="G39" s="24">
        <v>4000</v>
      </c>
      <c r="H39" s="24">
        <v>0</v>
      </c>
      <c r="I39" s="24">
        <v>0</v>
      </c>
      <c r="J39" s="24">
        <f>(1-$D39)*E39</f>
        <v>0</v>
      </c>
      <c r="K39" s="24">
        <f>(1-$D39)*F39</f>
        <v>26000</v>
      </c>
      <c r="L39" s="24">
        <f>G39</f>
        <v>4000</v>
      </c>
      <c r="M39" s="24">
        <f>(1-$D39)*H39</f>
        <v>0</v>
      </c>
      <c r="N39" s="24">
        <f>(1-$D39)*I39</f>
        <v>0</v>
      </c>
      <c r="O39" s="24">
        <v>13380</v>
      </c>
      <c r="P39" s="24">
        <v>7550</v>
      </c>
      <c r="Q39" s="24">
        <v>0</v>
      </c>
      <c r="R39" s="24">
        <v>0</v>
      </c>
      <c r="S39" s="24">
        <v>0</v>
      </c>
      <c r="T39" s="24">
        <v>6000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56930</v>
      </c>
      <c r="AA39" s="24">
        <v>0</v>
      </c>
      <c r="AB39" s="20">
        <f>Z39-AA39</f>
        <v>56930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  <c r="AF39" s="25" t="s">
        <v>325</v>
      </c>
    </row>
    <row r="40" spans="1:32" x14ac:dyDescent="0.25">
      <c r="A40" s="22" t="s">
        <v>241</v>
      </c>
      <c r="B40" s="22" t="s">
        <v>50</v>
      </c>
      <c r="C40" s="22" t="s">
        <v>252</v>
      </c>
      <c r="D40" s="23">
        <v>0</v>
      </c>
      <c r="E40" s="24">
        <v>0</v>
      </c>
      <c r="F40" s="24">
        <v>26000</v>
      </c>
      <c r="G40" s="24">
        <v>2000</v>
      </c>
      <c r="H40" s="24">
        <v>0</v>
      </c>
      <c r="I40" s="24">
        <v>0</v>
      </c>
      <c r="J40" s="24">
        <f>(1-$D40)*E40</f>
        <v>0</v>
      </c>
      <c r="K40" s="24">
        <f>(1-$D40)*F40</f>
        <v>26000</v>
      </c>
      <c r="L40" s="24">
        <f>G40</f>
        <v>2000</v>
      </c>
      <c r="M40" s="24">
        <f>(1-$D40)*H40</f>
        <v>0</v>
      </c>
      <c r="N40" s="24">
        <f>(1-$D40)*I40</f>
        <v>0</v>
      </c>
      <c r="O40" s="24">
        <v>0</v>
      </c>
      <c r="P40" s="24">
        <v>3050</v>
      </c>
      <c r="Q40" s="24">
        <v>0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>SUM(J40:Y40)</f>
        <v>31050</v>
      </c>
      <c r="AA40" s="24">
        <v>0</v>
      </c>
      <c r="AB40" s="20">
        <f>Z40-AA40</f>
        <v>31050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  <c r="AF40" s="25" t="s">
        <v>325</v>
      </c>
    </row>
    <row r="41" spans="1:32" x14ac:dyDescent="0.25">
      <c r="A41" s="22" t="s">
        <v>173</v>
      </c>
      <c r="B41" s="22" t="s">
        <v>174</v>
      </c>
      <c r="C41" s="22" t="s">
        <v>49</v>
      </c>
      <c r="D41" s="23">
        <v>0</v>
      </c>
      <c r="E41" s="24">
        <v>0</v>
      </c>
      <c r="F41" s="24">
        <v>26000</v>
      </c>
      <c r="G41" s="24">
        <v>4000</v>
      </c>
      <c r="H41" s="24">
        <v>1000</v>
      </c>
      <c r="I41" s="24">
        <v>0</v>
      </c>
      <c r="J41" s="24">
        <f>(1-$D41)*E41</f>
        <v>0</v>
      </c>
      <c r="K41" s="24">
        <f>(1-$D41)*F41</f>
        <v>26000</v>
      </c>
      <c r="L41" s="24">
        <f>G41</f>
        <v>4000</v>
      </c>
      <c r="M41" s="24">
        <f>(1-$D41)*H41</f>
        <v>1000</v>
      </c>
      <c r="N41" s="24">
        <f>(1-$D41)*I41</f>
        <v>0</v>
      </c>
      <c r="O41" s="24">
        <v>6840</v>
      </c>
      <c r="P41" s="24">
        <v>5300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>SUM(J41:Y41)</f>
        <v>43140</v>
      </c>
      <c r="AA41" s="24">
        <v>0</v>
      </c>
      <c r="AB41" s="20">
        <f>Z41-AA41</f>
        <v>43140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  <c r="AF41" s="25" t="s">
        <v>325</v>
      </c>
    </row>
    <row r="42" spans="1:32" x14ac:dyDescent="0.25">
      <c r="A42" s="22" t="s">
        <v>65</v>
      </c>
      <c r="B42" s="22" t="s">
        <v>66</v>
      </c>
      <c r="C42" s="22" t="s">
        <v>67</v>
      </c>
      <c r="D42" s="23">
        <v>0.5</v>
      </c>
      <c r="E42" s="24">
        <v>0</v>
      </c>
      <c r="F42" s="24">
        <v>33000</v>
      </c>
      <c r="G42" s="24">
        <v>5000</v>
      </c>
      <c r="H42" s="24">
        <v>2000</v>
      </c>
      <c r="I42" s="24">
        <v>6000</v>
      </c>
      <c r="J42" s="24">
        <f>(1-$D42)*E42</f>
        <v>0</v>
      </c>
      <c r="K42" s="24">
        <f>(1-$D42)*F42</f>
        <v>16500</v>
      </c>
      <c r="L42" s="24">
        <f>G42</f>
        <v>5000</v>
      </c>
      <c r="M42" s="24">
        <f>(1-$D42)*H42</f>
        <v>1000</v>
      </c>
      <c r="N42" s="24">
        <f>(1-$D42)*I42</f>
        <v>3000</v>
      </c>
      <c r="O42" s="24">
        <v>22400</v>
      </c>
      <c r="P42" s="24">
        <v>14330</v>
      </c>
      <c r="Q42" s="24">
        <v>0</v>
      </c>
      <c r="R42" s="24">
        <v>0</v>
      </c>
      <c r="S42" s="24">
        <v>0</v>
      </c>
      <c r="T42" s="24">
        <v>8000</v>
      </c>
      <c r="U42" s="24">
        <v>0</v>
      </c>
      <c r="V42" s="24">
        <v>0</v>
      </c>
      <c r="W42" s="24">
        <v>0</v>
      </c>
      <c r="X42" s="24">
        <v>0</v>
      </c>
      <c r="Y42" s="24">
        <v>-30</v>
      </c>
      <c r="Z42" s="24">
        <f>SUM(J42:Y42)</f>
        <v>70200</v>
      </c>
      <c r="AA42" s="24">
        <v>0</v>
      </c>
      <c r="AB42" s="20">
        <f>Z42-AA42</f>
        <v>70200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  <c r="AF42" s="25" t="s">
        <v>325</v>
      </c>
    </row>
    <row r="43" spans="1:32" x14ac:dyDescent="0.25">
      <c r="A43" s="22" t="s">
        <v>68</v>
      </c>
      <c r="B43" s="22" t="s">
        <v>69</v>
      </c>
      <c r="C43" s="22" t="s">
        <v>67</v>
      </c>
      <c r="D43" s="23">
        <v>0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>(1-$D43)*E43</f>
        <v>0</v>
      </c>
      <c r="K43" s="24">
        <f>(1-$D43)*F43</f>
        <v>33000</v>
      </c>
      <c r="L43" s="24">
        <f>G43</f>
        <v>5000</v>
      </c>
      <c r="M43" s="24">
        <f>(1-$D43)*H43</f>
        <v>2000</v>
      </c>
      <c r="N43" s="24">
        <f>(1-$D43)*I43</f>
        <v>6000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-8970</v>
      </c>
      <c r="Z43" s="24">
        <f>SUM(J43:Y43)</f>
        <v>73760</v>
      </c>
      <c r="AA43" s="24">
        <v>0</v>
      </c>
      <c r="AB43" s="20">
        <f>Z43-AA43</f>
        <v>73760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  <c r="AF43" s="25" t="s">
        <v>325</v>
      </c>
    </row>
    <row r="44" spans="1:32" x14ac:dyDescent="0.25">
      <c r="A44" s="22" t="s">
        <v>71</v>
      </c>
      <c r="B44" s="22" t="s">
        <v>72</v>
      </c>
      <c r="C44" s="22" t="s">
        <v>70</v>
      </c>
      <c r="D44" s="23">
        <v>0</v>
      </c>
      <c r="E44" s="24">
        <v>0</v>
      </c>
      <c r="F44" s="24">
        <v>40000</v>
      </c>
      <c r="G44" s="24">
        <v>5000</v>
      </c>
      <c r="H44" s="24">
        <v>2000</v>
      </c>
      <c r="I44" s="24">
        <v>8000</v>
      </c>
      <c r="J44" s="24">
        <f>(1-$D44)*E44</f>
        <v>0</v>
      </c>
      <c r="K44" s="24">
        <f>(1-$D44)*F44</f>
        <v>40000</v>
      </c>
      <c r="L44" s="24">
        <f>G44</f>
        <v>5000</v>
      </c>
      <c r="M44" s="24">
        <f>(1-$D44)*H44</f>
        <v>2000</v>
      </c>
      <c r="N44" s="24">
        <f>(1-$D44)*I44</f>
        <v>8000</v>
      </c>
      <c r="O44" s="24">
        <v>11880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120</v>
      </c>
      <c r="Z44" s="24">
        <f>SUM(J44:Y44)</f>
        <v>81330</v>
      </c>
      <c r="AA44" s="24">
        <v>50000</v>
      </c>
      <c r="AB44" s="20">
        <f>Z44-AA44</f>
        <v>31330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  <c r="AF44" s="25" t="s">
        <v>325</v>
      </c>
    </row>
    <row r="45" spans="1:32" x14ac:dyDescent="0.25">
      <c r="A45" s="22" t="s">
        <v>74</v>
      </c>
      <c r="B45" s="22" t="s">
        <v>75</v>
      </c>
      <c r="C45" s="22" t="s">
        <v>67</v>
      </c>
      <c r="D45" s="23">
        <v>0.5</v>
      </c>
      <c r="E45" s="24">
        <v>0</v>
      </c>
      <c r="F45" s="24">
        <v>33000</v>
      </c>
      <c r="G45" s="24">
        <v>5000</v>
      </c>
      <c r="H45" s="24">
        <v>2000</v>
      </c>
      <c r="I45" s="24">
        <v>6000</v>
      </c>
      <c r="J45" s="24">
        <f>(1-$D45)*E45</f>
        <v>0</v>
      </c>
      <c r="K45" s="24">
        <f>(1-$D45)*F45</f>
        <v>16500</v>
      </c>
      <c r="L45" s="24">
        <f>G45</f>
        <v>5000</v>
      </c>
      <c r="M45" s="24">
        <f>(1-$D45)*H45</f>
        <v>1000</v>
      </c>
      <c r="N45" s="24">
        <f>(1-$D45)*I45</f>
        <v>3000</v>
      </c>
      <c r="O45" s="24">
        <v>22400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480</v>
      </c>
      <c r="Z45" s="24">
        <f>SUM(J45:Y45)</f>
        <v>62710</v>
      </c>
      <c r="AA45" s="24">
        <v>0</v>
      </c>
      <c r="AB45" s="20">
        <f>Z45-AA45</f>
        <v>62710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  <c r="AF45" s="25" t="s">
        <v>325</v>
      </c>
    </row>
    <row r="46" spans="1:32" x14ac:dyDescent="0.25">
      <c r="A46" s="22" t="s">
        <v>191</v>
      </c>
      <c r="B46" s="22" t="s">
        <v>199</v>
      </c>
      <c r="C46" s="22" t="s">
        <v>67</v>
      </c>
      <c r="D46" s="23">
        <v>0.25</v>
      </c>
      <c r="E46" s="24">
        <v>0</v>
      </c>
      <c r="F46" s="24">
        <v>33000</v>
      </c>
      <c r="G46" s="24">
        <v>5000</v>
      </c>
      <c r="H46" s="24">
        <v>2000</v>
      </c>
      <c r="I46" s="24">
        <v>6000</v>
      </c>
      <c r="J46" s="24">
        <f>(1-$D46)*E46</f>
        <v>0</v>
      </c>
      <c r="K46" s="24">
        <f>(1-$D46)*F46</f>
        <v>24750</v>
      </c>
      <c r="L46" s="24">
        <f>G46</f>
        <v>5000</v>
      </c>
      <c r="M46" s="24">
        <f>(1-$D46)*H46</f>
        <v>1500</v>
      </c>
      <c r="N46" s="24">
        <f>(1-$D46)*I46</f>
        <v>4500</v>
      </c>
      <c r="O46" s="24">
        <v>22400</v>
      </c>
      <c r="P46" s="24">
        <v>14330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>SUM(J46:Y46)</f>
        <v>72480</v>
      </c>
      <c r="AA46" s="24">
        <v>0</v>
      </c>
      <c r="AB46" s="20">
        <f>Z46-AA46</f>
        <v>72480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  <c r="AF46" s="25" t="s">
        <v>325</v>
      </c>
    </row>
    <row r="47" spans="1:32" x14ac:dyDescent="0.25">
      <c r="A47" s="22" t="s">
        <v>191</v>
      </c>
      <c r="B47" s="22" t="s">
        <v>192</v>
      </c>
      <c r="C47" s="22" t="s">
        <v>70</v>
      </c>
      <c r="D47" s="23">
        <v>0.25</v>
      </c>
      <c r="E47" s="24">
        <v>0</v>
      </c>
      <c r="F47" s="24">
        <v>40000</v>
      </c>
      <c r="G47" s="24">
        <v>5000</v>
      </c>
      <c r="H47" s="24">
        <v>2000</v>
      </c>
      <c r="I47" s="24">
        <v>8000</v>
      </c>
      <c r="J47" s="24">
        <f>(1-$D47)*E47</f>
        <v>0</v>
      </c>
      <c r="K47" s="24">
        <f>(1-$D47)*F47</f>
        <v>30000</v>
      </c>
      <c r="L47" s="24">
        <f>G47</f>
        <v>5000</v>
      </c>
      <c r="M47" s="24">
        <f>(1-$D47)*H47</f>
        <v>1500</v>
      </c>
      <c r="N47" s="24">
        <f>(1-$D47)*I47</f>
        <v>6000</v>
      </c>
      <c r="O47" s="24">
        <v>11880</v>
      </c>
      <c r="P47" s="24">
        <v>14330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f>SUM(J47:Y47)</f>
        <v>68710</v>
      </c>
      <c r="AA47" s="24">
        <v>0</v>
      </c>
      <c r="AB47" s="20">
        <f>Z47-AA47</f>
        <v>68710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  <c r="AF47" s="25" t="s">
        <v>325</v>
      </c>
    </row>
    <row r="48" spans="1:32" x14ac:dyDescent="0.25">
      <c r="A48" s="22" t="s">
        <v>243</v>
      </c>
      <c r="B48" s="22" t="s">
        <v>244</v>
      </c>
      <c r="C48" s="22" t="s">
        <v>49</v>
      </c>
      <c r="D48" s="23">
        <v>0</v>
      </c>
      <c r="E48" s="24">
        <v>0</v>
      </c>
      <c r="F48" s="24">
        <v>26000</v>
      </c>
      <c r="G48" s="24">
        <v>4000</v>
      </c>
      <c r="H48" s="24">
        <v>1000</v>
      </c>
      <c r="I48" s="24">
        <v>0</v>
      </c>
      <c r="J48" s="24">
        <f>(1-$D48)*E48</f>
        <v>0</v>
      </c>
      <c r="K48" s="24">
        <f>(1-$D48)*F48</f>
        <v>26000</v>
      </c>
      <c r="L48" s="24">
        <f>G48</f>
        <v>4000</v>
      </c>
      <c r="M48" s="24">
        <f>(1-$D48)*H48</f>
        <v>1000</v>
      </c>
      <c r="N48" s="24">
        <f>(1-$D48)*I48</f>
        <v>0</v>
      </c>
      <c r="O48" s="24">
        <v>6840</v>
      </c>
      <c r="P48" s="24">
        <v>5300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43140</v>
      </c>
      <c r="AA48" s="24">
        <v>0</v>
      </c>
      <c r="AB48" s="20">
        <f>Z48-AA48</f>
        <v>43140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  <c r="AF48" s="25" t="s">
        <v>325</v>
      </c>
    </row>
    <row r="49" spans="1:32" x14ac:dyDescent="0.25">
      <c r="A49" s="22" t="s">
        <v>64</v>
      </c>
      <c r="B49" s="22" t="s">
        <v>76</v>
      </c>
      <c r="C49" s="22" t="s">
        <v>47</v>
      </c>
      <c r="D49" s="23">
        <v>0.25</v>
      </c>
      <c r="E49" s="24">
        <v>0</v>
      </c>
      <c r="F49" s="24">
        <v>26000</v>
      </c>
      <c r="G49" s="24">
        <v>4000</v>
      </c>
      <c r="H49" s="24">
        <v>0</v>
      </c>
      <c r="I49" s="24">
        <v>0</v>
      </c>
      <c r="J49" s="24">
        <f>(1-$D49)*E49</f>
        <v>0</v>
      </c>
      <c r="K49" s="24">
        <f>(1-$D49)*F49</f>
        <v>19500</v>
      </c>
      <c r="L49" s="24">
        <f>G49</f>
        <v>4000</v>
      </c>
      <c r="M49" s="24">
        <f>(1-$D49)*H49</f>
        <v>0</v>
      </c>
      <c r="N49" s="24">
        <f>(1-$D49)*I49</f>
        <v>0</v>
      </c>
      <c r="O49" s="24">
        <v>24930</v>
      </c>
      <c r="P49" s="24">
        <v>10730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18500</v>
      </c>
      <c r="Z49" s="24">
        <f>SUM(J49:Y49)</f>
        <v>83660</v>
      </c>
      <c r="AA49" s="24">
        <v>48000</v>
      </c>
      <c r="AB49" s="20">
        <f>Z49-AA49</f>
        <v>35660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  <c r="AF49" s="25" t="s">
        <v>325</v>
      </c>
    </row>
    <row r="50" spans="1:32" x14ac:dyDescent="0.25">
      <c r="A50" s="22" t="s">
        <v>64</v>
      </c>
      <c r="B50" s="22" t="s">
        <v>77</v>
      </c>
      <c r="C50" s="22" t="s">
        <v>248</v>
      </c>
      <c r="D50" s="23">
        <v>0.05</v>
      </c>
      <c r="E50" s="24">
        <v>0</v>
      </c>
      <c r="F50" s="24">
        <v>28000</v>
      </c>
      <c r="G50" s="24">
        <v>4000</v>
      </c>
      <c r="H50" s="24">
        <v>0</v>
      </c>
      <c r="I50" s="24">
        <v>5000</v>
      </c>
      <c r="J50" s="24">
        <f>(1-$D50)*E50</f>
        <v>0</v>
      </c>
      <c r="K50" s="24">
        <f>(1-$D50)*F50</f>
        <v>26600</v>
      </c>
      <c r="L50" s="24">
        <f>G50</f>
        <v>4000</v>
      </c>
      <c r="M50" s="24">
        <f>(1-$D50)*H50</f>
        <v>0</v>
      </c>
      <c r="N50" s="24">
        <f>(1-$D50)*I50</f>
        <v>4750</v>
      </c>
      <c r="O50" s="24">
        <v>28790</v>
      </c>
      <c r="P50" s="24">
        <v>13230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f>SUM(J50:Y50)</f>
        <v>77370</v>
      </c>
      <c r="AA50" s="24">
        <v>79020</v>
      </c>
      <c r="AB50" s="20">
        <f>Z50-AA50</f>
        <v>-1650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  <c r="AF50" s="25" t="s">
        <v>326</v>
      </c>
    </row>
    <row r="51" spans="1:32" x14ac:dyDescent="0.25">
      <c r="A51" s="22" t="s">
        <v>78</v>
      </c>
      <c r="B51" s="22" t="s">
        <v>79</v>
      </c>
      <c r="C51" s="22" t="s">
        <v>33</v>
      </c>
      <c r="D51" s="23">
        <v>0</v>
      </c>
      <c r="E51" s="24">
        <v>0</v>
      </c>
      <c r="F51" s="24">
        <v>28000</v>
      </c>
      <c r="G51" s="24">
        <v>4000</v>
      </c>
      <c r="H51" s="24">
        <v>2500</v>
      </c>
      <c r="I51" s="24">
        <v>5000</v>
      </c>
      <c r="J51" s="24">
        <f>(1-$D51)*E51</f>
        <v>0</v>
      </c>
      <c r="K51" s="24">
        <f>(1-$D51)*F51</f>
        <v>28000</v>
      </c>
      <c r="L51" s="24">
        <f>G51</f>
        <v>4000</v>
      </c>
      <c r="M51" s="24">
        <f>(1-$D51)*H51</f>
        <v>2500</v>
      </c>
      <c r="N51" s="24">
        <f>(1-$D51)*I51</f>
        <v>5000</v>
      </c>
      <c r="O51" s="24">
        <v>25970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f>SUM(J51:Y51)</f>
        <v>82800</v>
      </c>
      <c r="AA51" s="24">
        <v>42350</v>
      </c>
      <c r="AB51" s="20">
        <f>Z51-AA51</f>
        <v>40450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  <c r="AF51" s="25" t="s">
        <v>325</v>
      </c>
    </row>
    <row r="52" spans="1:32" x14ac:dyDescent="0.25">
      <c r="A52" s="22" t="s">
        <v>55</v>
      </c>
      <c r="B52" s="22" t="s">
        <v>80</v>
      </c>
      <c r="C52" s="22" t="s">
        <v>67</v>
      </c>
      <c r="D52" s="23">
        <v>0.5</v>
      </c>
      <c r="E52" s="24">
        <v>0</v>
      </c>
      <c r="F52" s="24">
        <v>33000</v>
      </c>
      <c r="G52" s="24">
        <v>5000</v>
      </c>
      <c r="H52" s="24">
        <v>2000</v>
      </c>
      <c r="I52" s="24">
        <v>6000</v>
      </c>
      <c r="J52" s="24">
        <f>(1-$D52)*E52</f>
        <v>0</v>
      </c>
      <c r="K52" s="24">
        <f>(1-$D52)*F52</f>
        <v>16500</v>
      </c>
      <c r="L52" s="24">
        <f>G52</f>
        <v>5000</v>
      </c>
      <c r="M52" s="24">
        <f>(1-$D52)*H52</f>
        <v>1000</v>
      </c>
      <c r="N52" s="24">
        <f>(1-$D52)*I52</f>
        <v>3000</v>
      </c>
      <c r="O52" s="24">
        <v>22400</v>
      </c>
      <c r="P52" s="24">
        <v>14330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500</v>
      </c>
      <c r="Z52" s="24">
        <f>SUM(J52:Y52)</f>
        <v>62730</v>
      </c>
      <c r="AA52" s="24">
        <v>0</v>
      </c>
      <c r="AB52" s="20">
        <f>Z52-AA52</f>
        <v>62730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  <c r="AF52" s="25" t="s">
        <v>325</v>
      </c>
    </row>
    <row r="53" spans="1:32" x14ac:dyDescent="0.25">
      <c r="A53" s="22" t="s">
        <v>224</v>
      </c>
      <c r="B53" s="22" t="s">
        <v>226</v>
      </c>
      <c r="C53" s="22" t="s">
        <v>48</v>
      </c>
      <c r="D53" s="23">
        <v>0.25</v>
      </c>
      <c r="E53" s="24">
        <v>0</v>
      </c>
      <c r="F53" s="24">
        <v>28000</v>
      </c>
      <c r="G53" s="24">
        <v>4000</v>
      </c>
      <c r="H53" s="24">
        <v>0</v>
      </c>
      <c r="I53" s="24">
        <v>5000</v>
      </c>
      <c r="J53" s="24">
        <f>(1-$D53)*E53</f>
        <v>0</v>
      </c>
      <c r="K53" s="24">
        <f>(1-$D53)*F53</f>
        <v>21000</v>
      </c>
      <c r="L53" s="24">
        <f>G53</f>
        <v>4000</v>
      </c>
      <c r="M53" s="24">
        <f>(1-$D53)*H53</f>
        <v>0</v>
      </c>
      <c r="N53" s="24">
        <f>(1-$D53)*I53</f>
        <v>3750</v>
      </c>
      <c r="O53" s="24">
        <v>26150</v>
      </c>
      <c r="P53" s="24">
        <v>11330</v>
      </c>
      <c r="Q53" s="24">
        <v>0</v>
      </c>
      <c r="R53" s="24">
        <v>0</v>
      </c>
      <c r="S53" s="24">
        <v>0</v>
      </c>
      <c r="T53" s="24">
        <v>6000</v>
      </c>
      <c r="U53" s="24">
        <v>0</v>
      </c>
      <c r="V53" s="24">
        <v>0</v>
      </c>
      <c r="W53" s="24">
        <v>0</v>
      </c>
      <c r="X53" s="24">
        <v>0</v>
      </c>
      <c r="Y53" s="24">
        <v>22105</v>
      </c>
      <c r="Z53" s="24">
        <f>SUM(J53:Y53)</f>
        <v>94335</v>
      </c>
      <c r="AA53" s="24">
        <v>20000</v>
      </c>
      <c r="AB53" s="20">
        <f>Z53-AA53</f>
        <v>74335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  <c r="AF53" s="25" t="s">
        <v>325</v>
      </c>
    </row>
    <row r="54" spans="1:32" x14ac:dyDescent="0.25">
      <c r="A54" s="22" t="s">
        <v>224</v>
      </c>
      <c r="B54" s="22" t="s">
        <v>225</v>
      </c>
      <c r="C54" s="22" t="s">
        <v>248</v>
      </c>
      <c r="D54" s="23">
        <v>0.25</v>
      </c>
      <c r="E54" s="24">
        <v>0</v>
      </c>
      <c r="F54" s="24">
        <v>28000</v>
      </c>
      <c r="G54" s="24">
        <v>4000</v>
      </c>
      <c r="H54" s="24">
        <v>0</v>
      </c>
      <c r="I54" s="24">
        <v>5000</v>
      </c>
      <c r="J54" s="24">
        <f>(1-$D54)*E54</f>
        <v>0</v>
      </c>
      <c r="K54" s="24">
        <f>(1-$D54)*F54</f>
        <v>21000</v>
      </c>
      <c r="L54" s="24">
        <f>G54</f>
        <v>4000</v>
      </c>
      <c r="M54" s="24">
        <f>(1-$D54)*H54</f>
        <v>0</v>
      </c>
      <c r="N54" s="24">
        <f>(1-$D54)*I54</f>
        <v>3750</v>
      </c>
      <c r="O54" s="24">
        <v>28790</v>
      </c>
      <c r="P54" s="24">
        <v>13230</v>
      </c>
      <c r="Q54" s="24">
        <v>0</v>
      </c>
      <c r="R54" s="24">
        <v>0</v>
      </c>
      <c r="S54" s="24">
        <v>0</v>
      </c>
      <c r="T54" s="24">
        <v>6000</v>
      </c>
      <c r="U54" s="24">
        <v>0</v>
      </c>
      <c r="V54" s="24">
        <v>0</v>
      </c>
      <c r="W54" s="24">
        <v>0</v>
      </c>
      <c r="X54" s="24">
        <v>0</v>
      </c>
      <c r="Y54" s="24">
        <v>24395</v>
      </c>
      <c r="Z54" s="24">
        <f>SUM(J54:Y54)</f>
        <v>101165</v>
      </c>
      <c r="AA54" s="24">
        <v>20000</v>
      </c>
      <c r="AB54" s="20">
        <f>Z54-AA54</f>
        <v>81165</v>
      </c>
      <c r="AC54" s="24" t="str">
        <f>IF(AND($T54=6000, ($T54+$W54-$AB54)&gt;=6000),T54,"")</f>
        <v/>
      </c>
      <c r="AD54" s="24" t="str">
        <f>IF(AND($T54=8000, ($T54+$W54-$AB54)&gt;=8000),T54,"")</f>
        <v/>
      </c>
      <c r="AE54" s="24" t="str">
        <f>IF(($T54+$W54-$AB54)&gt;=$T54+8000,W54,"")</f>
        <v/>
      </c>
      <c r="AF54" s="25" t="s">
        <v>325</v>
      </c>
    </row>
    <row r="55" spans="1:32" x14ac:dyDescent="0.25">
      <c r="A55" s="22" t="s">
        <v>153</v>
      </c>
      <c r="B55" s="22" t="s">
        <v>154</v>
      </c>
      <c r="C55" s="22" t="s">
        <v>30</v>
      </c>
      <c r="D55" s="23">
        <v>0</v>
      </c>
      <c r="E55" s="24">
        <v>0</v>
      </c>
      <c r="F55" s="24">
        <v>26000</v>
      </c>
      <c r="G55" s="24">
        <v>4000</v>
      </c>
      <c r="H55" s="24">
        <v>1000</v>
      </c>
      <c r="I55" s="24">
        <v>0</v>
      </c>
      <c r="J55" s="24">
        <f>(1-$D55)*E55</f>
        <v>0</v>
      </c>
      <c r="K55" s="24">
        <f>(1-$D55)*F55</f>
        <v>26000</v>
      </c>
      <c r="L55" s="24">
        <f>G55</f>
        <v>4000</v>
      </c>
      <c r="M55" s="24">
        <f>(1-$D55)*H55</f>
        <v>1000</v>
      </c>
      <c r="N55" s="24">
        <f>(1-$D55)*I55</f>
        <v>0</v>
      </c>
      <c r="O55" s="24">
        <v>12480</v>
      </c>
      <c r="P55" s="24">
        <v>7550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>SUM(J55:Y55)</f>
        <v>51030</v>
      </c>
      <c r="AA55" s="24">
        <v>0</v>
      </c>
      <c r="AB55" s="20">
        <f>Z55-AA55</f>
        <v>51030</v>
      </c>
      <c r="AC55" s="24" t="str">
        <f>IF(AND($T55=6000, ($T55+$W55-$AB55)&gt;=6000),T55,"")</f>
        <v/>
      </c>
      <c r="AD55" s="24" t="str">
        <f>IF(AND($T55=8000, ($T55+$W55-$AB55)&gt;=8000),T55,"")</f>
        <v/>
      </c>
      <c r="AE55" s="24" t="str">
        <f>IF(($T55+$W55-$AB55)&gt;=$T55+8000,W55,"")</f>
        <v/>
      </c>
      <c r="AF55" s="25" t="s">
        <v>325</v>
      </c>
    </row>
    <row r="56" spans="1:32" x14ac:dyDescent="0.25">
      <c r="A56" s="22" t="s">
        <v>175</v>
      </c>
      <c r="B56" s="22" t="s">
        <v>176</v>
      </c>
      <c r="C56" s="22" t="s">
        <v>49</v>
      </c>
      <c r="D56" s="23">
        <v>0</v>
      </c>
      <c r="E56" s="24">
        <v>0</v>
      </c>
      <c r="F56" s="24">
        <v>26000</v>
      </c>
      <c r="G56" s="24">
        <v>4000</v>
      </c>
      <c r="H56" s="24">
        <v>1000</v>
      </c>
      <c r="I56" s="24">
        <v>0</v>
      </c>
      <c r="J56" s="24">
        <f>(1-$D56)*E56</f>
        <v>0</v>
      </c>
      <c r="K56" s="24">
        <f>(1-$D56)*F56</f>
        <v>26000</v>
      </c>
      <c r="L56" s="24">
        <f>G56</f>
        <v>4000</v>
      </c>
      <c r="M56" s="24">
        <f>(1-$D56)*H56</f>
        <v>1000</v>
      </c>
      <c r="N56" s="24">
        <f>(1-$D56)*I56</f>
        <v>0</v>
      </c>
      <c r="O56" s="24">
        <v>6840</v>
      </c>
      <c r="P56" s="24">
        <v>5300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2000</v>
      </c>
      <c r="Z56" s="24">
        <f>SUM(J56:Y56)</f>
        <v>45140</v>
      </c>
      <c r="AA56" s="24">
        <v>39840</v>
      </c>
      <c r="AB56" s="20">
        <f>Z56-AA56</f>
        <v>5300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  <c r="AF56" s="25" t="s">
        <v>325</v>
      </c>
    </row>
    <row r="57" spans="1:32" x14ac:dyDescent="0.25">
      <c r="A57" s="22" t="s">
        <v>280</v>
      </c>
      <c r="B57" s="22"/>
      <c r="C57" s="22" t="s">
        <v>67</v>
      </c>
      <c r="D57" s="23">
        <v>0.25</v>
      </c>
      <c r="E57" s="24">
        <v>3000</v>
      </c>
      <c r="F57" s="24">
        <v>33000</v>
      </c>
      <c r="G57" s="24">
        <v>5000</v>
      </c>
      <c r="H57" s="24">
        <v>2000</v>
      </c>
      <c r="I57" s="24">
        <v>6000</v>
      </c>
      <c r="J57" s="24">
        <f>(1-$D57)*E57</f>
        <v>2250</v>
      </c>
      <c r="K57" s="24">
        <f>(1-$D57)*F57</f>
        <v>24750</v>
      </c>
      <c r="L57" s="24">
        <f>G57</f>
        <v>5000</v>
      </c>
      <c r="M57" s="24">
        <f>(1-$D57)*H57</f>
        <v>1500</v>
      </c>
      <c r="N57" s="24">
        <f>(1-$D57)*I57</f>
        <v>4500</v>
      </c>
      <c r="O57" s="24">
        <v>22400</v>
      </c>
      <c r="P57" s="24">
        <v>14330</v>
      </c>
      <c r="Q57" s="24">
        <v>12000</v>
      </c>
      <c r="R57" s="24">
        <v>8000</v>
      </c>
      <c r="S57" s="24">
        <v>8000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>SUM(J57:Y57)</f>
        <v>102730</v>
      </c>
      <c r="AA57" s="24">
        <v>100000</v>
      </c>
      <c r="AB57" s="20">
        <f>Z57-AA57</f>
        <v>2730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  <c r="AF57" s="25" t="s">
        <v>325</v>
      </c>
    </row>
    <row r="58" spans="1:32" x14ac:dyDescent="0.25">
      <c r="A58" s="22" t="s">
        <v>280</v>
      </c>
      <c r="B58" s="22"/>
      <c r="C58" s="22" t="s">
        <v>97</v>
      </c>
      <c r="D58" s="23">
        <v>0.25</v>
      </c>
      <c r="E58" s="24">
        <v>3000</v>
      </c>
      <c r="F58" s="24">
        <v>40000</v>
      </c>
      <c r="G58" s="24">
        <v>5000</v>
      </c>
      <c r="H58" s="24">
        <v>2000</v>
      </c>
      <c r="I58" s="24">
        <v>8000</v>
      </c>
      <c r="J58" s="24">
        <f>(1-$D58)*E58</f>
        <v>2250</v>
      </c>
      <c r="K58" s="24">
        <f>(1-$D58)*F58</f>
        <v>30000</v>
      </c>
      <c r="L58" s="24">
        <f>G58</f>
        <v>5000</v>
      </c>
      <c r="M58" s="24">
        <f>(1-$D58)*H58</f>
        <v>1500</v>
      </c>
      <c r="N58" s="24">
        <f>(1-$D58)*I58</f>
        <v>6000</v>
      </c>
      <c r="O58" s="24">
        <v>11880</v>
      </c>
      <c r="P58" s="24">
        <v>14330</v>
      </c>
      <c r="Q58" s="24">
        <v>20000</v>
      </c>
      <c r="R58" s="24">
        <v>8000</v>
      </c>
      <c r="S58" s="24">
        <v>8000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>SUM(J58:Y58)</f>
        <v>106960</v>
      </c>
      <c r="AA58" s="24">
        <v>100000</v>
      </c>
      <c r="AB58" s="20">
        <f>Z58-AA58</f>
        <v>6960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  <c r="AF58" s="25" t="s">
        <v>325</v>
      </c>
    </row>
    <row r="59" spans="1:32" x14ac:dyDescent="0.25">
      <c r="A59" s="22" t="s">
        <v>155</v>
      </c>
      <c r="B59" s="22" t="s">
        <v>156</v>
      </c>
      <c r="C59" s="22" t="s">
        <v>44</v>
      </c>
      <c r="D59" s="23">
        <v>0</v>
      </c>
      <c r="E59" s="24">
        <v>0</v>
      </c>
      <c r="F59" s="24">
        <v>26000</v>
      </c>
      <c r="G59" s="24">
        <v>4000</v>
      </c>
      <c r="H59" s="24">
        <v>0</v>
      </c>
      <c r="I59" s="24">
        <v>0</v>
      </c>
      <c r="J59" s="24">
        <f>(1-$D59)*E59</f>
        <v>0</v>
      </c>
      <c r="K59" s="24">
        <f>(1-$D59)*F59</f>
        <v>26000</v>
      </c>
      <c r="L59" s="24">
        <f>G59</f>
        <v>4000</v>
      </c>
      <c r="M59" s="24">
        <f>(1-$D59)*H59</f>
        <v>0</v>
      </c>
      <c r="N59" s="24">
        <f>(1-$D59)*I59</f>
        <v>0</v>
      </c>
      <c r="O59" s="24">
        <v>13380</v>
      </c>
      <c r="P59" s="24">
        <v>7550</v>
      </c>
      <c r="Q59" s="24">
        <v>0</v>
      </c>
      <c r="R59" s="24">
        <v>0</v>
      </c>
      <c r="S59" s="24">
        <v>0</v>
      </c>
      <c r="T59" s="24">
        <v>6000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>SUM(J59:Y59)</f>
        <v>56930</v>
      </c>
      <c r="AA59" s="24">
        <v>0</v>
      </c>
      <c r="AB59" s="20">
        <f>Z59-AA59</f>
        <v>56930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  <c r="AF59" s="25" t="s">
        <v>325</v>
      </c>
    </row>
    <row r="60" spans="1:32" x14ac:dyDescent="0.25">
      <c r="A60" s="22" t="s">
        <v>180</v>
      </c>
      <c r="B60" s="22" t="s">
        <v>181</v>
      </c>
      <c r="C60" s="22" t="s">
        <v>33</v>
      </c>
      <c r="D60" s="23">
        <v>0</v>
      </c>
      <c r="E60" s="24">
        <v>0</v>
      </c>
      <c r="F60" s="24">
        <v>28000</v>
      </c>
      <c r="G60" s="24">
        <v>4000</v>
      </c>
      <c r="H60" s="24">
        <v>2500</v>
      </c>
      <c r="I60" s="24">
        <v>5000</v>
      </c>
      <c r="J60" s="24">
        <f>(1-$D60)*E60</f>
        <v>0</v>
      </c>
      <c r="K60" s="24">
        <f>(1-$D60)*F60</f>
        <v>28000</v>
      </c>
      <c r="L60" s="24">
        <f>G60</f>
        <v>4000</v>
      </c>
      <c r="M60" s="24">
        <f>(1-$D60)*H60</f>
        <v>2500</v>
      </c>
      <c r="N60" s="24">
        <f>(1-$D60)*I60</f>
        <v>5000</v>
      </c>
      <c r="O60" s="24">
        <v>25970</v>
      </c>
      <c r="P60" s="24">
        <v>11330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>SUM(J60:Y60)</f>
        <v>76800</v>
      </c>
      <c r="AA60" s="24">
        <v>0</v>
      </c>
      <c r="AB60" s="20">
        <f>Z60-AA60</f>
        <v>76800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  <c r="AF60" s="25" t="s">
        <v>325</v>
      </c>
    </row>
    <row r="61" spans="1:32" x14ac:dyDescent="0.25">
      <c r="A61" s="22" t="s">
        <v>177</v>
      </c>
      <c r="B61" s="22" t="s">
        <v>178</v>
      </c>
      <c r="C61" s="22" t="s">
        <v>44</v>
      </c>
      <c r="D61" s="23">
        <v>0.25</v>
      </c>
      <c r="E61" s="24">
        <v>0</v>
      </c>
      <c r="F61" s="24">
        <v>26000</v>
      </c>
      <c r="G61" s="24">
        <v>4000</v>
      </c>
      <c r="H61" s="24">
        <v>0</v>
      </c>
      <c r="I61" s="24">
        <v>0</v>
      </c>
      <c r="J61" s="24">
        <f>(1-$D61)*E61</f>
        <v>0</v>
      </c>
      <c r="K61" s="24">
        <f>(1-$D61)*F61</f>
        <v>19500</v>
      </c>
      <c r="L61" s="24">
        <f>G61</f>
        <v>4000</v>
      </c>
      <c r="M61" s="24">
        <f>(1-$D61)*H61</f>
        <v>0</v>
      </c>
      <c r="N61" s="24">
        <f>(1-$D61)*I61</f>
        <v>0</v>
      </c>
      <c r="O61" s="24">
        <v>13380</v>
      </c>
      <c r="P61" s="24">
        <v>7550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>SUM(J61:Y61)</f>
        <v>44430</v>
      </c>
      <c r="AA61" s="24">
        <v>0</v>
      </c>
      <c r="AB61" s="20">
        <f>Z61-AA61</f>
        <v>44430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  <c r="AF61" s="25" t="s">
        <v>325</v>
      </c>
    </row>
    <row r="62" spans="1:32" x14ac:dyDescent="0.25">
      <c r="A62" s="22" t="s">
        <v>234</v>
      </c>
      <c r="B62" s="22" t="s">
        <v>255</v>
      </c>
      <c r="C62" s="22" t="s">
        <v>44</v>
      </c>
      <c r="D62" s="23">
        <v>0.05</v>
      </c>
      <c r="E62" s="24">
        <v>0</v>
      </c>
      <c r="F62" s="24">
        <v>26000</v>
      </c>
      <c r="G62" s="24">
        <v>4000</v>
      </c>
      <c r="H62" s="24">
        <v>0</v>
      </c>
      <c r="I62" s="24">
        <v>0</v>
      </c>
      <c r="J62" s="24">
        <f>(1-$D62)*E62</f>
        <v>0</v>
      </c>
      <c r="K62" s="24">
        <f>(1-$D62)*F62</f>
        <v>24700</v>
      </c>
      <c r="L62" s="24">
        <f>G62</f>
        <v>4000</v>
      </c>
      <c r="M62" s="24">
        <f>(1-$D62)*H62</f>
        <v>0</v>
      </c>
      <c r="N62" s="24">
        <f>(1-$D62)*I62</f>
        <v>0</v>
      </c>
      <c r="O62" s="24">
        <v>13380</v>
      </c>
      <c r="P62" s="24">
        <v>7550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1000</v>
      </c>
      <c r="Z62" s="24">
        <f>SUM(J62:Y62)</f>
        <v>50630</v>
      </c>
      <c r="AA62" s="24">
        <v>51930</v>
      </c>
      <c r="AB62" s="20">
        <f>Z62-AA62</f>
        <v>-1300</v>
      </c>
      <c r="AC62" s="24" t="str">
        <f>IF(AND($T62=6000, ($T62+$W62-$AB62)&gt;=6000),T62,"")</f>
        <v/>
      </c>
      <c r="AD62" s="24" t="str">
        <f>IF(AND($T62=8000, ($T62+$W62-$AB62)&gt;=8000),T62,"")</f>
        <v/>
      </c>
      <c r="AE62" s="24" t="str">
        <f>IF(($T62+$W62-$AB62)&gt;=$T62+8000,W62,"")</f>
        <v/>
      </c>
      <c r="AF62" s="25" t="s">
        <v>326</v>
      </c>
    </row>
    <row r="63" spans="1:32" x14ac:dyDescent="0.25">
      <c r="A63" s="22" t="s">
        <v>81</v>
      </c>
      <c r="B63" s="22" t="s">
        <v>82</v>
      </c>
      <c r="C63" s="22" t="s">
        <v>33</v>
      </c>
      <c r="D63" s="23">
        <v>0</v>
      </c>
      <c r="E63" s="24">
        <v>0</v>
      </c>
      <c r="F63" s="24">
        <v>28000</v>
      </c>
      <c r="G63" s="24">
        <v>4000</v>
      </c>
      <c r="H63" s="24">
        <v>2500</v>
      </c>
      <c r="I63" s="24">
        <v>5000</v>
      </c>
      <c r="J63" s="24">
        <f>(1-$D63)*E63</f>
        <v>0</v>
      </c>
      <c r="K63" s="24">
        <f>(1-$D63)*F63</f>
        <v>28000</v>
      </c>
      <c r="L63" s="24">
        <f>G63</f>
        <v>4000</v>
      </c>
      <c r="M63" s="24">
        <f>(1-$D63)*H63</f>
        <v>2500</v>
      </c>
      <c r="N63" s="24">
        <f>(1-$D63)*I63</f>
        <v>5000</v>
      </c>
      <c r="O63" s="24">
        <v>25970</v>
      </c>
      <c r="P63" s="24">
        <v>11330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550</v>
      </c>
      <c r="Z63" s="24">
        <f>SUM(J63:Y63)</f>
        <v>77350</v>
      </c>
      <c r="AA63" s="24">
        <v>25000</v>
      </c>
      <c r="AB63" s="20">
        <f>Z63-AA63</f>
        <v>52350</v>
      </c>
      <c r="AC63" s="24" t="str">
        <f>IF(AND($T63=6000, ($T63+$W63-$AB63)&gt;=6000),T63,"")</f>
        <v/>
      </c>
      <c r="AD63" s="24" t="str">
        <f>IF(AND($T63=8000, ($T63+$W63-$AB63)&gt;=8000),T63,"")</f>
        <v/>
      </c>
      <c r="AE63" s="24" t="str">
        <f>IF(($T63+$W63-$AB63)&gt;=$T63+8000,W63,"")</f>
        <v/>
      </c>
      <c r="AF63" s="25" t="s">
        <v>325</v>
      </c>
    </row>
    <row r="64" spans="1:32" x14ac:dyDescent="0.25">
      <c r="A64" s="22" t="s">
        <v>83</v>
      </c>
      <c r="B64" s="22" t="s">
        <v>84</v>
      </c>
      <c r="C64" s="22" t="s">
        <v>46</v>
      </c>
      <c r="D64" s="23">
        <v>0</v>
      </c>
      <c r="E64" s="24">
        <v>0</v>
      </c>
      <c r="F64" s="24">
        <v>28000</v>
      </c>
      <c r="G64" s="24">
        <v>4000</v>
      </c>
      <c r="H64" s="24">
        <v>0</v>
      </c>
      <c r="I64" s="24">
        <v>5000</v>
      </c>
      <c r="J64" s="24">
        <f>(1-$D64)*E64</f>
        <v>0</v>
      </c>
      <c r="K64" s="24">
        <f>(1-$D64)*F64</f>
        <v>28000</v>
      </c>
      <c r="L64" s="24">
        <f>G64</f>
        <v>4000</v>
      </c>
      <c r="M64" s="24">
        <f>(1-$D64)*H64</f>
        <v>0</v>
      </c>
      <c r="N64" s="24">
        <f>(1-$D64)*I64</f>
        <v>5000</v>
      </c>
      <c r="O64" s="24">
        <v>27310</v>
      </c>
      <c r="P64" s="24">
        <v>13230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>SUM(J64:Y64)</f>
        <v>77540</v>
      </c>
      <c r="AA64" s="24">
        <v>0</v>
      </c>
      <c r="AB64" s="20">
        <f>Z64-AA64</f>
        <v>77540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  <c r="AF64" s="25" t="s">
        <v>325</v>
      </c>
    </row>
    <row r="65" spans="1:32" x14ac:dyDescent="0.25">
      <c r="A65" s="22" t="s">
        <v>85</v>
      </c>
      <c r="B65" s="22" t="s">
        <v>86</v>
      </c>
      <c r="C65" s="22" t="s">
        <v>67</v>
      </c>
      <c r="D65" s="23">
        <v>0.5</v>
      </c>
      <c r="E65" s="24">
        <v>0</v>
      </c>
      <c r="F65" s="24">
        <v>33000</v>
      </c>
      <c r="G65" s="24">
        <v>5000</v>
      </c>
      <c r="H65" s="24">
        <v>2000</v>
      </c>
      <c r="I65" s="24">
        <v>6000</v>
      </c>
      <c r="J65" s="24">
        <f>(1-$D65)*E65</f>
        <v>0</v>
      </c>
      <c r="K65" s="24">
        <f>(1-$D65)*F65</f>
        <v>16500</v>
      </c>
      <c r="L65" s="24">
        <f>G65</f>
        <v>5000</v>
      </c>
      <c r="M65" s="24">
        <f>(1-$D65)*H65</f>
        <v>1000</v>
      </c>
      <c r="N65" s="24">
        <f>(1-$D65)*I65</f>
        <v>3000</v>
      </c>
      <c r="O65" s="24">
        <v>22400</v>
      </c>
      <c r="P65" s="24">
        <v>14330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>SUM(J65:Y65)</f>
        <v>62230</v>
      </c>
      <c r="AA65" s="24">
        <v>0</v>
      </c>
      <c r="AB65" s="20">
        <f>Z65-AA65</f>
        <v>62230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  <c r="AF65" s="25" t="s">
        <v>325</v>
      </c>
    </row>
    <row r="66" spans="1:32" x14ac:dyDescent="0.25">
      <c r="A66" s="22" t="s">
        <v>85</v>
      </c>
      <c r="B66" s="22" t="s">
        <v>87</v>
      </c>
      <c r="C66" s="22" t="s">
        <v>59</v>
      </c>
      <c r="D66" s="23">
        <v>0.25</v>
      </c>
      <c r="E66" s="24">
        <v>0</v>
      </c>
      <c r="F66" s="24">
        <v>28000</v>
      </c>
      <c r="G66" s="24">
        <v>4000</v>
      </c>
      <c r="H66" s="24">
        <v>0</v>
      </c>
      <c r="I66" s="24">
        <v>5000</v>
      </c>
      <c r="J66" s="24">
        <f>(1-$D66)*E66</f>
        <v>0</v>
      </c>
      <c r="K66" s="24">
        <f>(1-$D66)*F66</f>
        <v>21000</v>
      </c>
      <c r="L66" s="24">
        <f>G66</f>
        <v>4000</v>
      </c>
      <c r="M66" s="24">
        <f>(1-$D66)*H66</f>
        <v>0</v>
      </c>
      <c r="N66" s="24">
        <f>(1-$D66)*I66</f>
        <v>3750</v>
      </c>
      <c r="O66" s="24">
        <v>27330</v>
      </c>
      <c r="P66" s="24">
        <v>13230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f>SUM(J66:Y66)</f>
        <v>69310</v>
      </c>
      <c r="AA66" s="24">
        <v>0</v>
      </c>
      <c r="AB66" s="20">
        <f>Z66-AA66</f>
        <v>69310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  <c r="AF66" s="25" t="s">
        <v>325</v>
      </c>
    </row>
    <row r="67" spans="1:32" x14ac:dyDescent="0.25">
      <c r="A67" s="22" t="s">
        <v>195</v>
      </c>
      <c r="B67" s="22" t="s">
        <v>196</v>
      </c>
      <c r="C67" s="22" t="s">
        <v>36</v>
      </c>
      <c r="D67" s="23">
        <v>0</v>
      </c>
      <c r="E67" s="24">
        <v>0</v>
      </c>
      <c r="F67" s="24">
        <v>33000</v>
      </c>
      <c r="G67" s="24">
        <v>5000</v>
      </c>
      <c r="H67" s="24">
        <v>2000</v>
      </c>
      <c r="I67" s="24">
        <v>6000</v>
      </c>
      <c r="J67" s="24">
        <f>(1-$D67)*E67</f>
        <v>0</v>
      </c>
      <c r="K67" s="24">
        <f>(1-$D67)*F67</f>
        <v>33000</v>
      </c>
      <c r="L67" s="24">
        <f>G67</f>
        <v>5000</v>
      </c>
      <c r="M67" s="24">
        <f>(1-$D67)*H67</f>
        <v>2000</v>
      </c>
      <c r="N67" s="24">
        <f>(1-$D67)*I67</f>
        <v>6000</v>
      </c>
      <c r="O67" s="24">
        <v>19500</v>
      </c>
      <c r="P67" s="24">
        <v>14330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f>SUM(J67:Y67)</f>
        <v>79830</v>
      </c>
      <c r="AA67" s="24">
        <v>0</v>
      </c>
      <c r="AB67" s="20">
        <f>Z67-AA67</f>
        <v>79830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  <c r="AF67" s="25" t="s">
        <v>325</v>
      </c>
    </row>
    <row r="68" spans="1:32" x14ac:dyDescent="0.25">
      <c r="A68" s="22" t="s">
        <v>213</v>
      </c>
      <c r="B68" s="22" t="s">
        <v>223</v>
      </c>
      <c r="C68" s="22" t="s">
        <v>49</v>
      </c>
      <c r="D68" s="23">
        <v>0.55000000000000004</v>
      </c>
      <c r="E68" s="24">
        <v>0</v>
      </c>
      <c r="F68" s="24">
        <v>26000</v>
      </c>
      <c r="G68" s="24">
        <v>4000</v>
      </c>
      <c r="H68" s="24">
        <v>1000</v>
      </c>
      <c r="I68" s="24">
        <v>0</v>
      </c>
      <c r="J68" s="24">
        <f>(1-$D68)*E68</f>
        <v>0</v>
      </c>
      <c r="K68" s="24">
        <f>(1-$D68)*F68</f>
        <v>11699.999999999998</v>
      </c>
      <c r="L68" s="24">
        <f>G68</f>
        <v>4000</v>
      </c>
      <c r="M68" s="24">
        <f>(1-$D68)*H68</f>
        <v>449.99999999999994</v>
      </c>
      <c r="N68" s="24">
        <f>(1-$D68)*I68</f>
        <v>0</v>
      </c>
      <c r="O68" s="24">
        <v>6840</v>
      </c>
      <c r="P68" s="24">
        <v>5300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>SUM(J68:Y68)</f>
        <v>28290</v>
      </c>
      <c r="AA68" s="24">
        <v>29640</v>
      </c>
      <c r="AB68" s="20">
        <f>Z68-AA68</f>
        <v>-1350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  <c r="AF68" s="25" t="s">
        <v>326</v>
      </c>
    </row>
    <row r="69" spans="1:32" x14ac:dyDescent="0.25">
      <c r="A69" s="22" t="s">
        <v>157</v>
      </c>
      <c r="B69" s="22" t="s">
        <v>73</v>
      </c>
      <c r="C69" s="22" t="s">
        <v>44</v>
      </c>
      <c r="D69" s="23">
        <v>0.5</v>
      </c>
      <c r="E69" s="24">
        <v>0</v>
      </c>
      <c r="F69" s="24">
        <v>26000</v>
      </c>
      <c r="G69" s="24">
        <v>4000</v>
      </c>
      <c r="H69" s="24">
        <v>0</v>
      </c>
      <c r="I69" s="24">
        <v>0</v>
      </c>
      <c r="J69" s="24">
        <f>(1-$D69)*E69</f>
        <v>0</v>
      </c>
      <c r="K69" s="24">
        <f>(1-$D69)*F69</f>
        <v>13000</v>
      </c>
      <c r="L69" s="24">
        <f>G69</f>
        <v>4000</v>
      </c>
      <c r="M69" s="24">
        <f>(1-$D69)*H69</f>
        <v>0</v>
      </c>
      <c r="N69" s="24">
        <f>(1-$D69)*I69</f>
        <v>0</v>
      </c>
      <c r="O69" s="24">
        <v>13380</v>
      </c>
      <c r="P69" s="24">
        <v>7550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8000</v>
      </c>
      <c r="Z69" s="24">
        <f>SUM(J69:Y69)</f>
        <v>45930</v>
      </c>
      <c r="AA69" s="24">
        <v>0</v>
      </c>
      <c r="AB69" s="20">
        <f>Z69-AA69</f>
        <v>45930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  <c r="AF69" s="25" t="s">
        <v>325</v>
      </c>
    </row>
    <row r="70" spans="1:32" x14ac:dyDescent="0.25">
      <c r="A70" s="22" t="s">
        <v>157</v>
      </c>
      <c r="B70" s="22" t="s">
        <v>158</v>
      </c>
      <c r="C70" s="22" t="s">
        <v>44</v>
      </c>
      <c r="D70" s="23">
        <v>0.5</v>
      </c>
      <c r="E70" s="24">
        <v>0</v>
      </c>
      <c r="F70" s="24">
        <v>26000</v>
      </c>
      <c r="G70" s="24">
        <v>4000</v>
      </c>
      <c r="H70" s="24">
        <v>0</v>
      </c>
      <c r="I70" s="24">
        <v>0</v>
      </c>
      <c r="J70" s="24">
        <f>(1-$D70)*E70</f>
        <v>0</v>
      </c>
      <c r="K70" s="24">
        <f>(1-$D70)*F70</f>
        <v>13000</v>
      </c>
      <c r="L70" s="24">
        <f>G70</f>
        <v>4000</v>
      </c>
      <c r="M70" s="24">
        <f>(1-$D70)*H70</f>
        <v>0</v>
      </c>
      <c r="N70" s="24">
        <f>(1-$D70)*I70</f>
        <v>0</v>
      </c>
      <c r="O70" s="24">
        <v>13380</v>
      </c>
      <c r="P70" s="24">
        <v>7550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8000</v>
      </c>
      <c r="Z70" s="24">
        <f>SUM(J70:Y70)</f>
        <v>45930</v>
      </c>
      <c r="AA70" s="24">
        <v>0</v>
      </c>
      <c r="AB70" s="20">
        <f>Z70-AA70</f>
        <v>45930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 t="str">
        <f>IF(($T70+$W70-$AB70)&gt;=$T70+8000,W70,"")</f>
        <v/>
      </c>
      <c r="AF70" s="25" t="s">
        <v>325</v>
      </c>
    </row>
    <row r="71" spans="1:32" x14ac:dyDescent="0.25">
      <c r="A71" s="22" t="s">
        <v>157</v>
      </c>
      <c r="B71" s="22" t="s">
        <v>222</v>
      </c>
      <c r="C71" s="22" t="s">
        <v>59</v>
      </c>
      <c r="D71" s="23">
        <v>0.5</v>
      </c>
      <c r="E71" s="24">
        <v>0</v>
      </c>
      <c r="F71" s="24">
        <v>28000</v>
      </c>
      <c r="G71" s="24">
        <v>4000</v>
      </c>
      <c r="H71" s="24">
        <v>0</v>
      </c>
      <c r="I71" s="24">
        <v>5000</v>
      </c>
      <c r="J71" s="24">
        <f>(1-$D71)*E71</f>
        <v>0</v>
      </c>
      <c r="K71" s="24">
        <f>(1-$D71)*F71</f>
        <v>14000</v>
      </c>
      <c r="L71" s="24">
        <f>G71</f>
        <v>4000</v>
      </c>
      <c r="M71" s="24">
        <f>(1-$D71)*H71</f>
        <v>0</v>
      </c>
      <c r="N71" s="24">
        <f>(1-$D71)*I71</f>
        <v>2500</v>
      </c>
      <c r="O71" s="24">
        <v>27330</v>
      </c>
      <c r="P71" s="24">
        <v>13230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8080</v>
      </c>
      <c r="Z71" s="24">
        <f>SUM(J71:Y71)</f>
        <v>69140</v>
      </c>
      <c r="AA71" s="24">
        <v>0</v>
      </c>
      <c r="AB71" s="20">
        <f>Z71-AA71</f>
        <v>69140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  <c r="AF71" s="25" t="s">
        <v>325</v>
      </c>
    </row>
    <row r="72" spans="1:32" x14ac:dyDescent="0.25">
      <c r="A72" s="22" t="s">
        <v>171</v>
      </c>
      <c r="B72" s="22" t="s">
        <v>172</v>
      </c>
      <c r="C72" s="22" t="s">
        <v>49</v>
      </c>
      <c r="D72" s="23">
        <v>0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>(1-$D72)*E72</f>
        <v>0</v>
      </c>
      <c r="K72" s="24">
        <f>(1-$D72)*F72</f>
        <v>26000</v>
      </c>
      <c r="L72" s="24">
        <f>G72</f>
        <v>4000</v>
      </c>
      <c r="M72" s="24">
        <f>(1-$D72)*H72</f>
        <v>1000</v>
      </c>
      <c r="N72" s="24">
        <f>(1-$D72)*I72</f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>SUM(J72:Y72)</f>
        <v>43140</v>
      </c>
      <c r="AA72" s="24">
        <v>0</v>
      </c>
      <c r="AB72" s="20">
        <f>Z72-AA72</f>
        <v>43140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  <c r="AF72" s="25" t="s">
        <v>325</v>
      </c>
    </row>
    <row r="73" spans="1:32" x14ac:dyDescent="0.25">
      <c r="A73" s="22" t="s">
        <v>88</v>
      </c>
      <c r="B73" s="22" t="s">
        <v>206</v>
      </c>
      <c r="C73" s="22" t="s">
        <v>47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>(1-$D73)*E73</f>
        <v>0</v>
      </c>
      <c r="K73" s="24">
        <f>(1-$D73)*F73</f>
        <v>19500</v>
      </c>
      <c r="L73" s="24">
        <f>G73</f>
        <v>4000</v>
      </c>
      <c r="M73" s="24">
        <f>(1-$D73)*H73</f>
        <v>0</v>
      </c>
      <c r="N73" s="24">
        <f>(1-$D73)*I73</f>
        <v>0</v>
      </c>
      <c r="O73" s="24">
        <v>24930</v>
      </c>
      <c r="P73" s="24">
        <v>10730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>SUM(J73:Y73)</f>
        <v>65160</v>
      </c>
      <c r="AA73" s="24">
        <v>0</v>
      </c>
      <c r="AB73" s="20">
        <f>Z73-AA73</f>
        <v>65160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  <c r="AF73" s="25" t="s">
        <v>325</v>
      </c>
    </row>
    <row r="74" spans="1:32" x14ac:dyDescent="0.25">
      <c r="A74" s="22" t="s">
        <v>88</v>
      </c>
      <c r="B74" s="22" t="s">
        <v>219</v>
      </c>
      <c r="C74" s="22" t="s">
        <v>49</v>
      </c>
      <c r="D74" s="23">
        <v>0.25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>(1-$D74)*E74</f>
        <v>0</v>
      </c>
      <c r="K74" s="24">
        <f>(1-$D74)*F74</f>
        <v>19500</v>
      </c>
      <c r="L74" s="24">
        <f>G74</f>
        <v>4000</v>
      </c>
      <c r="M74" s="24">
        <f>(1-$D74)*H74</f>
        <v>750</v>
      </c>
      <c r="N74" s="24">
        <f>(1-$D74)*I74</f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-500</v>
      </c>
      <c r="Z74" s="24">
        <f>SUM(J74:Y74)</f>
        <v>35890</v>
      </c>
      <c r="AA74" s="24">
        <v>0</v>
      </c>
      <c r="AB74" s="20">
        <f>Z74-AA74</f>
        <v>35890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  <c r="AF74" s="25" t="s">
        <v>325</v>
      </c>
    </row>
    <row r="75" spans="1:32" x14ac:dyDescent="0.25">
      <c r="A75" s="22" t="s">
        <v>159</v>
      </c>
      <c r="B75" s="22" t="s">
        <v>160</v>
      </c>
      <c r="C75" s="22" t="s">
        <v>44</v>
      </c>
      <c r="D75" s="23">
        <v>0.25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>(1-$D75)*E75</f>
        <v>0</v>
      </c>
      <c r="K75" s="24">
        <f>(1-$D75)*F75</f>
        <v>19500</v>
      </c>
      <c r="L75" s="24">
        <f>G75</f>
        <v>4000</v>
      </c>
      <c r="M75" s="24">
        <f>(1-$D75)*H75</f>
        <v>0</v>
      </c>
      <c r="N75" s="24">
        <f>(1-$D75)*I75</f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f>SUM(J75:Y75)</f>
        <v>50430</v>
      </c>
      <c r="AA75" s="24">
        <v>0</v>
      </c>
      <c r="AB75" s="20">
        <f>Z75-AA75</f>
        <v>50430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  <c r="AF75" s="25" t="s">
        <v>325</v>
      </c>
    </row>
    <row r="76" spans="1:32" x14ac:dyDescent="0.25">
      <c r="A76" s="22" t="s">
        <v>159</v>
      </c>
      <c r="B76" s="22" t="s">
        <v>215</v>
      </c>
      <c r="C76" s="22" t="s">
        <v>49</v>
      </c>
      <c r="D76" s="23">
        <v>0.25</v>
      </c>
      <c r="E76" s="24">
        <v>0</v>
      </c>
      <c r="F76" s="24">
        <v>26000</v>
      </c>
      <c r="G76" s="24">
        <v>4000</v>
      </c>
      <c r="H76" s="24">
        <v>1000</v>
      </c>
      <c r="I76" s="24">
        <v>0</v>
      </c>
      <c r="J76" s="24">
        <f>(1-$D76)*E76</f>
        <v>0</v>
      </c>
      <c r="K76" s="24">
        <f>(1-$D76)*F76</f>
        <v>19500</v>
      </c>
      <c r="L76" s="24">
        <f>G76</f>
        <v>4000</v>
      </c>
      <c r="M76" s="24">
        <f>(1-$D76)*H76</f>
        <v>750</v>
      </c>
      <c r="N76" s="24">
        <f>(1-$D76)*I76</f>
        <v>0</v>
      </c>
      <c r="O76" s="24">
        <v>6840</v>
      </c>
      <c r="P76" s="24">
        <v>5300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f>SUM(J76:Y76)</f>
        <v>36390</v>
      </c>
      <c r="AA76" s="24">
        <v>0</v>
      </c>
      <c r="AB76" s="20">
        <f>Z76-AA76</f>
        <v>36390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  <c r="AF76" s="25" t="s">
        <v>325</v>
      </c>
    </row>
    <row r="77" spans="1:32" x14ac:dyDescent="0.25">
      <c r="A77" s="22" t="s">
        <v>161</v>
      </c>
      <c r="B77" s="22" t="s">
        <v>163</v>
      </c>
      <c r="C77" s="22" t="s">
        <v>44</v>
      </c>
      <c r="D77" s="23">
        <v>0.25</v>
      </c>
      <c r="E77" s="24">
        <v>0</v>
      </c>
      <c r="F77" s="24">
        <v>26000</v>
      </c>
      <c r="G77" s="24">
        <v>4000</v>
      </c>
      <c r="H77" s="24">
        <v>0</v>
      </c>
      <c r="I77" s="24">
        <v>0</v>
      </c>
      <c r="J77" s="24">
        <f>(1-$D77)*E77</f>
        <v>0</v>
      </c>
      <c r="K77" s="24">
        <f>(1-$D77)*F77</f>
        <v>19500</v>
      </c>
      <c r="L77" s="24">
        <f>G77</f>
        <v>4000</v>
      </c>
      <c r="M77" s="24">
        <f>(1-$D77)*H77</f>
        <v>0</v>
      </c>
      <c r="N77" s="24">
        <f>(1-$D77)*I77</f>
        <v>0</v>
      </c>
      <c r="O77" s="24">
        <v>13380</v>
      </c>
      <c r="P77" s="24">
        <v>7550</v>
      </c>
      <c r="Q77" s="24">
        <v>0</v>
      </c>
      <c r="R77" s="24">
        <v>0</v>
      </c>
      <c r="S77" s="24">
        <v>0</v>
      </c>
      <c r="T77" s="24">
        <v>6000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f>SUM(J77:Y77)</f>
        <v>50430</v>
      </c>
      <c r="AA77" s="24">
        <v>0</v>
      </c>
      <c r="AB77" s="20">
        <f>Z77-AA77</f>
        <v>50430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  <c r="AF77" s="25" t="s">
        <v>325</v>
      </c>
    </row>
    <row r="78" spans="1:32" x14ac:dyDescent="0.25">
      <c r="A78" s="22" t="s">
        <v>161</v>
      </c>
      <c r="B78" s="22" t="s">
        <v>162</v>
      </c>
      <c r="C78" s="22" t="s">
        <v>46</v>
      </c>
      <c r="D78" s="23">
        <v>0.25</v>
      </c>
      <c r="E78" s="24">
        <v>0</v>
      </c>
      <c r="F78" s="24">
        <v>28000</v>
      </c>
      <c r="G78" s="24">
        <v>4000</v>
      </c>
      <c r="H78" s="24">
        <v>0</v>
      </c>
      <c r="I78" s="24">
        <v>5000</v>
      </c>
      <c r="J78" s="24">
        <f>(1-$D78)*E78</f>
        <v>0</v>
      </c>
      <c r="K78" s="24">
        <f>(1-$D78)*F78</f>
        <v>21000</v>
      </c>
      <c r="L78" s="24">
        <f>G78</f>
        <v>4000</v>
      </c>
      <c r="M78" s="24">
        <f>(1-$D78)*H78</f>
        <v>0</v>
      </c>
      <c r="N78" s="24">
        <f>(1-$D78)*I78</f>
        <v>3750</v>
      </c>
      <c r="O78" s="24">
        <v>27310</v>
      </c>
      <c r="P78" s="24">
        <v>13230</v>
      </c>
      <c r="Q78" s="24">
        <v>0</v>
      </c>
      <c r="R78" s="24">
        <v>0</v>
      </c>
      <c r="S78" s="24">
        <v>0</v>
      </c>
      <c r="T78" s="24">
        <v>6000</v>
      </c>
      <c r="U78" s="24">
        <v>0</v>
      </c>
      <c r="V78" s="24">
        <v>0</v>
      </c>
      <c r="W78" s="24">
        <v>0</v>
      </c>
      <c r="X78" s="24">
        <v>0</v>
      </c>
      <c r="Y78" s="24">
        <v>-695</v>
      </c>
      <c r="Z78" s="24">
        <f>SUM(J78:Y78)</f>
        <v>74595</v>
      </c>
      <c r="AA78" s="24">
        <v>0</v>
      </c>
      <c r="AB78" s="20">
        <f>Z78-AA78</f>
        <v>74595</v>
      </c>
      <c r="AC78" s="24" t="str">
        <f>IF(AND($T78=6000, ($T78+$W78-$AB78)&gt;=6000),T78,"")</f>
        <v/>
      </c>
      <c r="AD78" s="24" t="str">
        <f>IF(AND($T78=8000, ($T78+$W78-$AB78)&gt;=8000),T78,"")</f>
        <v/>
      </c>
      <c r="AE78" s="24" t="str">
        <f>IF(($T78+$W78-$AB78)&gt;=$T78+8000,W78,"")</f>
        <v/>
      </c>
      <c r="AF78" s="25" t="s">
        <v>325</v>
      </c>
    </row>
    <row r="79" spans="1:32" x14ac:dyDescent="0.25">
      <c r="A79" s="22" t="s">
        <v>237</v>
      </c>
      <c r="B79" s="22" t="s">
        <v>238</v>
      </c>
      <c r="C79" s="22" t="s">
        <v>44</v>
      </c>
      <c r="D79" s="23">
        <v>0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>(1-$D79)*E79</f>
        <v>0</v>
      </c>
      <c r="K79" s="24">
        <f>(1-$D79)*F79</f>
        <v>26000</v>
      </c>
      <c r="L79" s="24">
        <f>G79</f>
        <v>4000</v>
      </c>
      <c r="M79" s="24">
        <f>(1-$D79)*H79</f>
        <v>0</v>
      </c>
      <c r="N79" s="24">
        <f>(1-$D79)*I79</f>
        <v>0</v>
      </c>
      <c r="O79" s="24">
        <v>13380</v>
      </c>
      <c r="P79" s="24">
        <v>7550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14000</v>
      </c>
      <c r="Z79" s="24">
        <f>SUM(J79:Y79)</f>
        <v>64930</v>
      </c>
      <c r="AA79" s="24">
        <v>0</v>
      </c>
      <c r="AB79" s="20">
        <f>Z79-AA79</f>
        <v>64930</v>
      </c>
      <c r="AC79" s="24" t="str">
        <f>IF(AND($T79=6000, ($T79+$W79-$AB79)&gt;=6000),T79,"")</f>
        <v/>
      </c>
      <c r="AD79" s="24" t="str">
        <f>IF(AND($T79=8000, ($T79+$W79-$AB79)&gt;=8000),T79,"")</f>
        <v/>
      </c>
      <c r="AE79" s="24" t="str">
        <f>IF(($T79+$W79-$AB79)&gt;=$T79+8000,W79,"")</f>
        <v/>
      </c>
      <c r="AF79" s="25" t="s">
        <v>325</v>
      </c>
    </row>
    <row r="80" spans="1:32" x14ac:dyDescent="0.25">
      <c r="A80" s="22" t="s">
        <v>89</v>
      </c>
      <c r="B80" s="22" t="s">
        <v>92</v>
      </c>
      <c r="C80" s="22" t="s">
        <v>36</v>
      </c>
      <c r="D80" s="23">
        <v>0.3</v>
      </c>
      <c r="E80" s="24">
        <v>0</v>
      </c>
      <c r="F80" s="24">
        <v>33000</v>
      </c>
      <c r="G80" s="24">
        <v>5000</v>
      </c>
      <c r="H80" s="24">
        <v>2000</v>
      </c>
      <c r="I80" s="24">
        <v>6000</v>
      </c>
      <c r="J80" s="24">
        <f>(1-$D80)*E80</f>
        <v>0</v>
      </c>
      <c r="K80" s="24">
        <f>(1-$D80)*F80</f>
        <v>23100</v>
      </c>
      <c r="L80" s="24">
        <f>G80</f>
        <v>5000</v>
      </c>
      <c r="M80" s="24">
        <f>(1-$D80)*H80</f>
        <v>1400</v>
      </c>
      <c r="N80" s="24">
        <f>(1-$D80)*I80</f>
        <v>4200</v>
      </c>
      <c r="O80" s="24">
        <v>19500</v>
      </c>
      <c r="P80" s="24">
        <v>14330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>SUM(J80:Y80)</f>
        <v>67530</v>
      </c>
      <c r="AA80" s="24">
        <v>0</v>
      </c>
      <c r="AB80" s="20">
        <f>Z80-AA80</f>
        <v>67530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  <c r="AF80" s="25" t="s">
        <v>325</v>
      </c>
    </row>
    <row r="81" spans="1:32" x14ac:dyDescent="0.25">
      <c r="A81" s="22" t="s">
        <v>89</v>
      </c>
      <c r="B81" s="22" t="s">
        <v>91</v>
      </c>
      <c r="C81" s="22" t="s">
        <v>46</v>
      </c>
      <c r="D81" s="23">
        <v>0.25</v>
      </c>
      <c r="E81" s="24">
        <v>0</v>
      </c>
      <c r="F81" s="24">
        <v>28000</v>
      </c>
      <c r="G81" s="24">
        <v>4000</v>
      </c>
      <c r="H81" s="24">
        <v>0</v>
      </c>
      <c r="I81" s="24">
        <v>5000</v>
      </c>
      <c r="J81" s="24">
        <f>(1-$D81)*E81</f>
        <v>0</v>
      </c>
      <c r="K81" s="24">
        <f>(1-$D81)*F81</f>
        <v>21000</v>
      </c>
      <c r="L81" s="24">
        <f>G81</f>
        <v>4000</v>
      </c>
      <c r="M81" s="24">
        <f>(1-$D81)*H81</f>
        <v>0</v>
      </c>
      <c r="N81" s="24">
        <f>(1-$D81)*I81</f>
        <v>3750</v>
      </c>
      <c r="O81" s="24">
        <v>27310</v>
      </c>
      <c r="P81" s="24">
        <v>13230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450</v>
      </c>
      <c r="Z81" s="24">
        <f>SUM(J81:Y81)</f>
        <v>69740</v>
      </c>
      <c r="AA81" s="24">
        <v>0</v>
      </c>
      <c r="AB81" s="20">
        <f>Z81-AA81</f>
        <v>69740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  <c r="AF81" s="25" t="s">
        <v>325</v>
      </c>
    </row>
    <row r="82" spans="1:32" x14ac:dyDescent="0.25">
      <c r="A82" s="22" t="s">
        <v>89</v>
      </c>
      <c r="B82" s="22" t="s">
        <v>90</v>
      </c>
      <c r="C82" s="22" t="s">
        <v>70</v>
      </c>
      <c r="D82" s="23">
        <v>1</v>
      </c>
      <c r="E82" s="24">
        <v>0</v>
      </c>
      <c r="F82" s="24">
        <v>40000</v>
      </c>
      <c r="G82" s="24">
        <v>5000</v>
      </c>
      <c r="H82" s="24">
        <v>2000</v>
      </c>
      <c r="I82" s="24">
        <v>8000</v>
      </c>
      <c r="J82" s="24">
        <f>(1-$D82)*E82</f>
        <v>0</v>
      </c>
      <c r="K82" s="24">
        <f>(1-$D82)*F82</f>
        <v>0</v>
      </c>
      <c r="L82" s="24">
        <f>G82</f>
        <v>5000</v>
      </c>
      <c r="M82" s="24">
        <f>(1-$D82)*H82</f>
        <v>0</v>
      </c>
      <c r="N82" s="24">
        <f>(1-$D82)*I82</f>
        <v>0</v>
      </c>
      <c r="O82" s="24">
        <v>11880</v>
      </c>
      <c r="P82" s="24">
        <v>14330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>SUM(J82:Y82)</f>
        <v>31210</v>
      </c>
      <c r="AA82" s="24">
        <v>0</v>
      </c>
      <c r="AB82" s="20">
        <f>Z82-AA82</f>
        <v>31210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  <c r="AF82" s="25" t="s">
        <v>325</v>
      </c>
    </row>
    <row r="83" spans="1:32" x14ac:dyDescent="0.25">
      <c r="A83" s="22" t="s">
        <v>93</v>
      </c>
      <c r="B83" s="22" t="s">
        <v>94</v>
      </c>
      <c r="C83" s="22" t="s">
        <v>44</v>
      </c>
      <c r="D83" s="23">
        <v>0</v>
      </c>
      <c r="E83" s="24">
        <v>0</v>
      </c>
      <c r="F83" s="24">
        <v>26000</v>
      </c>
      <c r="G83" s="24">
        <v>4000</v>
      </c>
      <c r="H83" s="24">
        <v>0</v>
      </c>
      <c r="I83" s="24">
        <v>0</v>
      </c>
      <c r="J83" s="24">
        <f>(1-$D83)*E83</f>
        <v>0</v>
      </c>
      <c r="K83" s="24">
        <f>(1-$D83)*F83</f>
        <v>26000</v>
      </c>
      <c r="L83" s="24">
        <f>G83</f>
        <v>4000</v>
      </c>
      <c r="M83" s="24">
        <f>(1-$D83)*H83</f>
        <v>0</v>
      </c>
      <c r="N83" s="24">
        <f>(1-$D83)*I83</f>
        <v>0</v>
      </c>
      <c r="O83" s="24">
        <v>13380</v>
      </c>
      <c r="P83" s="24">
        <v>7550</v>
      </c>
      <c r="Q83" s="24">
        <v>8000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7000</v>
      </c>
      <c r="Z83" s="24">
        <f>SUM(J83:Y83)</f>
        <v>65930</v>
      </c>
      <c r="AA83" s="24">
        <v>0</v>
      </c>
      <c r="AB83" s="20">
        <f>Z83-AA83</f>
        <v>65930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  <c r="AF83" s="25" t="s">
        <v>325</v>
      </c>
    </row>
    <row r="84" spans="1:32" x14ac:dyDescent="0.25">
      <c r="A84" s="22" t="s">
        <v>207</v>
      </c>
      <c r="B84" s="22" t="s">
        <v>217</v>
      </c>
      <c r="C84" s="22" t="s">
        <v>49</v>
      </c>
      <c r="D84" s="23">
        <v>0.25</v>
      </c>
      <c r="E84" s="24">
        <v>0</v>
      </c>
      <c r="F84" s="24">
        <v>26000</v>
      </c>
      <c r="G84" s="24">
        <v>4000</v>
      </c>
      <c r="H84" s="24">
        <v>1000</v>
      </c>
      <c r="I84" s="24">
        <v>0</v>
      </c>
      <c r="J84" s="24">
        <f>(1-$D84)*E84</f>
        <v>0</v>
      </c>
      <c r="K84" s="24">
        <f>(1-$D84)*F84</f>
        <v>19500</v>
      </c>
      <c r="L84" s="24">
        <f>G84</f>
        <v>4000</v>
      </c>
      <c r="M84" s="24">
        <f>(1-$D84)*H84</f>
        <v>750</v>
      </c>
      <c r="N84" s="24">
        <f>(1-$D84)*I84</f>
        <v>0</v>
      </c>
      <c r="O84" s="24">
        <v>6840</v>
      </c>
      <c r="P84" s="24">
        <v>5300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19200</v>
      </c>
      <c r="Z84" s="24">
        <f>SUM(J84:Y84)</f>
        <v>55590</v>
      </c>
      <c r="AA84" s="24">
        <v>0</v>
      </c>
      <c r="AB84" s="20">
        <f>Z84-AA84</f>
        <v>55590</v>
      </c>
      <c r="AC84" s="24" t="str">
        <f>IF(AND($T84=6000, ($T84+$W84-$AB84)&gt;=6000),T84,"")</f>
        <v/>
      </c>
      <c r="AD84" s="24" t="str">
        <f>IF(AND($T84=8000, ($T84+$W84-$AB84)&gt;=8000),T84,"")</f>
        <v/>
      </c>
      <c r="AE84" s="24" t="str">
        <f>IF(($T84+$W84-$AB84)&gt;=$T84+8000,W84,"")</f>
        <v/>
      </c>
      <c r="AF84" s="25" t="s">
        <v>325</v>
      </c>
    </row>
    <row r="85" spans="1:32" x14ac:dyDescent="0.25">
      <c r="A85" s="22" t="s">
        <v>207</v>
      </c>
      <c r="B85" s="22" t="s">
        <v>216</v>
      </c>
      <c r="C85" s="22" t="s">
        <v>49</v>
      </c>
      <c r="D85" s="23">
        <v>0.25</v>
      </c>
      <c r="E85" s="24">
        <v>0</v>
      </c>
      <c r="F85" s="24">
        <v>26000</v>
      </c>
      <c r="G85" s="24">
        <v>4000</v>
      </c>
      <c r="H85" s="24">
        <v>1000</v>
      </c>
      <c r="I85" s="24">
        <v>0</v>
      </c>
      <c r="J85" s="24">
        <f>(1-$D85)*E85</f>
        <v>0</v>
      </c>
      <c r="K85" s="24">
        <f>(1-$D85)*F85</f>
        <v>19500</v>
      </c>
      <c r="L85" s="24">
        <f>G85</f>
        <v>4000</v>
      </c>
      <c r="M85" s="24">
        <f>(1-$D85)*H85</f>
        <v>750</v>
      </c>
      <c r="N85" s="24">
        <f>(1-$D85)*I85</f>
        <v>0</v>
      </c>
      <c r="O85" s="24">
        <v>6840</v>
      </c>
      <c r="P85" s="24">
        <v>5300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19200</v>
      </c>
      <c r="Z85" s="24">
        <f>SUM(J85:Y85)</f>
        <v>55590</v>
      </c>
      <c r="AA85" s="24">
        <v>0</v>
      </c>
      <c r="AB85" s="20">
        <f>Z85-AA85</f>
        <v>55590</v>
      </c>
      <c r="AC85" s="24" t="str">
        <f>IF(AND($T85=6000, ($T85+$W85-$AB85)&gt;=6000),T85,"")</f>
        <v/>
      </c>
      <c r="AD85" s="24" t="str">
        <f>IF(AND($T85=8000, ($T85+$W85-$AB85)&gt;=8000),T85,"")</f>
        <v/>
      </c>
      <c r="AE85" s="24" t="str">
        <f>IF(($T85+$W85-$AB85)&gt;=$T85+8000,W85,"")</f>
        <v/>
      </c>
      <c r="AF85" s="25" t="s">
        <v>325</v>
      </c>
    </row>
    <row r="86" spans="1:32" x14ac:dyDescent="0.25">
      <c r="A86" s="22" t="s">
        <v>288</v>
      </c>
      <c r="B86" s="22" t="s">
        <v>289</v>
      </c>
      <c r="C86" s="22" t="s">
        <v>30</v>
      </c>
      <c r="D86" s="23">
        <v>0.3</v>
      </c>
      <c r="E86" s="24">
        <v>2000</v>
      </c>
      <c r="F86" s="24">
        <v>26000</v>
      </c>
      <c r="G86" s="24">
        <v>4000</v>
      </c>
      <c r="H86" s="24">
        <v>1000</v>
      </c>
      <c r="I86" s="24">
        <v>0</v>
      </c>
      <c r="J86" s="24">
        <f>(1-$D86)*E86</f>
        <v>1400</v>
      </c>
      <c r="K86" s="24">
        <f>(1-$D86)*F86</f>
        <v>18200</v>
      </c>
      <c r="L86" s="24">
        <f>G86</f>
        <v>4000</v>
      </c>
      <c r="M86" s="24">
        <f>(1-$D86)*H86</f>
        <v>700</v>
      </c>
      <c r="N86" s="24">
        <f>(1-$D86)*I86</f>
        <v>0</v>
      </c>
      <c r="O86" s="24">
        <v>12480</v>
      </c>
      <c r="P86" s="24">
        <v>7550</v>
      </c>
      <c r="Q86" s="24">
        <v>16000</v>
      </c>
      <c r="R86" s="24">
        <v>8000</v>
      </c>
      <c r="S86" s="24">
        <v>7000</v>
      </c>
      <c r="T86" s="24">
        <v>6000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>SUM(J86:Y86)</f>
        <v>81330</v>
      </c>
      <c r="AA86" s="24">
        <v>81330</v>
      </c>
      <c r="AB86" s="20">
        <f>Z86-AA86</f>
        <v>0</v>
      </c>
      <c r="AC86" s="24">
        <f>IF(AND($T86=6000, ($T86+$W86-$AB86)&gt;=6000),T86,"")</f>
        <v>6000</v>
      </c>
      <c r="AD86" s="24" t="str">
        <f>IF(AND($T86=8000, ($T86+$W86-$AB86)&gt;=8000),T86,"")</f>
        <v/>
      </c>
      <c r="AE86" s="24" t="str">
        <f>IF(($T86+$W86-$AB86)&gt;=$T86+8000,W86,"")</f>
        <v/>
      </c>
      <c r="AF86" s="25" t="s">
        <v>326</v>
      </c>
    </row>
    <row r="87" spans="1:32" x14ac:dyDescent="0.25">
      <c r="A87" s="22" t="s">
        <v>288</v>
      </c>
      <c r="B87" s="22" t="s">
        <v>290</v>
      </c>
      <c r="C87" s="22"/>
      <c r="D87" s="23">
        <v>0.25</v>
      </c>
      <c r="E87" s="24">
        <v>0</v>
      </c>
      <c r="F87" s="24">
        <v>0</v>
      </c>
      <c r="G87" s="24">
        <v>0</v>
      </c>
      <c r="H87" s="24">
        <v>0</v>
      </c>
      <c r="I87" s="24">
        <v>0</v>
      </c>
      <c r="J87" s="24">
        <f>(1-$D87)*E87</f>
        <v>0</v>
      </c>
      <c r="K87" s="24">
        <f>(1-$D87)*F87</f>
        <v>0</v>
      </c>
      <c r="L87" s="24">
        <f>G87</f>
        <v>0</v>
      </c>
      <c r="M87" s="24">
        <f>(1-$D87)*H87</f>
        <v>0</v>
      </c>
      <c r="N87" s="24">
        <f>(1-$D87)*I87</f>
        <v>0</v>
      </c>
      <c r="O87" s="24">
        <v>0</v>
      </c>
      <c r="P87" s="24">
        <v>0</v>
      </c>
      <c r="Q87" s="24">
        <v>16000</v>
      </c>
      <c r="R87" s="24">
        <v>8000</v>
      </c>
      <c r="S87" s="24">
        <v>7000</v>
      </c>
      <c r="T87" s="24">
        <v>6000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f>SUM(J87:Y87)</f>
        <v>37000</v>
      </c>
      <c r="AA87" s="24">
        <v>13670</v>
      </c>
      <c r="AB87" s="20">
        <f>Z87-AA87</f>
        <v>23330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 t="str">
        <f>IF(($T87+$W87-$AB87)&gt;=$T87+8000,W87,"")</f>
        <v/>
      </c>
      <c r="AF87" s="25" t="s">
        <v>325</v>
      </c>
    </row>
    <row r="88" spans="1:32" x14ac:dyDescent="0.25">
      <c r="A88" s="22" t="s">
        <v>95</v>
      </c>
      <c r="B88" s="22" t="s">
        <v>96</v>
      </c>
      <c r="C88" s="22" t="s">
        <v>52</v>
      </c>
      <c r="D88" s="23">
        <v>0</v>
      </c>
      <c r="E88" s="24">
        <v>0</v>
      </c>
      <c r="F88" s="24">
        <v>40000</v>
      </c>
      <c r="G88" s="24">
        <v>5000</v>
      </c>
      <c r="H88" s="24">
        <v>2000</v>
      </c>
      <c r="I88" s="24">
        <v>8000</v>
      </c>
      <c r="J88" s="24">
        <f>(1-$D88)*E88</f>
        <v>0</v>
      </c>
      <c r="K88" s="24">
        <f>(1-$D88)*F88</f>
        <v>40000</v>
      </c>
      <c r="L88" s="24">
        <f>G88</f>
        <v>5000</v>
      </c>
      <c r="M88" s="24">
        <f>(1-$D88)*H88</f>
        <v>2000</v>
      </c>
      <c r="N88" s="24">
        <f>(1-$D88)*I88</f>
        <v>8000</v>
      </c>
      <c r="O88" s="24">
        <v>11880</v>
      </c>
      <c r="P88" s="24">
        <v>14330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5830</v>
      </c>
      <c r="Z88" s="24">
        <f>SUM(J88:Y88)</f>
        <v>87040</v>
      </c>
      <c r="AA88" s="24">
        <v>0</v>
      </c>
      <c r="AB88" s="20">
        <f>Z88-AA88</f>
        <v>87040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  <c r="AF88" s="25" t="s">
        <v>325</v>
      </c>
    </row>
    <row r="89" spans="1:32" x14ac:dyDescent="0.25">
      <c r="A89" s="22" t="s">
        <v>98</v>
      </c>
      <c r="B89" s="22" t="s">
        <v>145</v>
      </c>
      <c r="C89" s="22" t="s">
        <v>49</v>
      </c>
      <c r="D89" s="23">
        <v>0.25</v>
      </c>
      <c r="E89" s="24">
        <v>0</v>
      </c>
      <c r="F89" s="24">
        <v>26000</v>
      </c>
      <c r="G89" s="24">
        <v>4000</v>
      </c>
      <c r="H89" s="24">
        <v>1000</v>
      </c>
      <c r="I89" s="24">
        <v>0</v>
      </c>
      <c r="J89" s="24">
        <f>(1-$D89)*E89</f>
        <v>0</v>
      </c>
      <c r="K89" s="24">
        <f>(1-$D89)*F89</f>
        <v>19500</v>
      </c>
      <c r="L89" s="24">
        <f>G89</f>
        <v>4000</v>
      </c>
      <c r="M89" s="24">
        <f>(1-$D89)*H89</f>
        <v>750</v>
      </c>
      <c r="N89" s="24">
        <f>(1-$D89)*I89</f>
        <v>0</v>
      </c>
      <c r="O89" s="24">
        <v>6840</v>
      </c>
      <c r="P89" s="24">
        <v>5300</v>
      </c>
      <c r="Q89" s="24">
        <v>16000</v>
      </c>
      <c r="R89" s="24">
        <v>8000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>SUM(J89:Y89)</f>
        <v>60390</v>
      </c>
      <c r="AA89" s="24">
        <v>0</v>
      </c>
      <c r="AB89" s="20">
        <f>Z89-AA89</f>
        <v>60390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  <c r="AF89" s="25" t="s">
        <v>325</v>
      </c>
    </row>
    <row r="90" spans="1:32" x14ac:dyDescent="0.25">
      <c r="A90" s="22" t="s">
        <v>98</v>
      </c>
      <c r="B90" s="22" t="s">
        <v>99</v>
      </c>
      <c r="C90" s="22" t="s">
        <v>33</v>
      </c>
      <c r="D90" s="23">
        <v>0.25</v>
      </c>
      <c r="E90" s="24">
        <v>0</v>
      </c>
      <c r="F90" s="24">
        <v>28000</v>
      </c>
      <c r="G90" s="24">
        <v>4000</v>
      </c>
      <c r="H90" s="24">
        <v>2500</v>
      </c>
      <c r="I90" s="24">
        <v>5000</v>
      </c>
      <c r="J90" s="24">
        <f>(1-$D90)*E90</f>
        <v>0</v>
      </c>
      <c r="K90" s="24">
        <f>(1-$D90)*F90</f>
        <v>21000</v>
      </c>
      <c r="L90" s="24">
        <f>G90</f>
        <v>4000</v>
      </c>
      <c r="M90" s="24">
        <f>(1-$D90)*H90</f>
        <v>1875</v>
      </c>
      <c r="N90" s="24">
        <f>(1-$D90)*I90</f>
        <v>3750</v>
      </c>
      <c r="O90" s="24">
        <v>25970</v>
      </c>
      <c r="P90" s="24">
        <v>11330</v>
      </c>
      <c r="Q90" s="24">
        <v>16000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>SUM(J90:Y90)</f>
        <v>83925</v>
      </c>
      <c r="AA90" s="24">
        <v>0</v>
      </c>
      <c r="AB90" s="20">
        <f>Z90-AA90</f>
        <v>83925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  <c r="AF90" s="25" t="s">
        <v>325</v>
      </c>
    </row>
    <row r="91" spans="1:32" x14ac:dyDescent="0.25">
      <c r="A91" s="22" t="s">
        <v>100</v>
      </c>
      <c r="B91" s="22" t="s">
        <v>101</v>
      </c>
      <c r="C91" s="22" t="s">
        <v>44</v>
      </c>
      <c r="D91" s="23">
        <v>0</v>
      </c>
      <c r="E91" s="24">
        <v>0</v>
      </c>
      <c r="F91" s="24">
        <v>26000</v>
      </c>
      <c r="G91" s="24">
        <v>4000</v>
      </c>
      <c r="H91" s="24">
        <v>0</v>
      </c>
      <c r="I91" s="24">
        <v>0</v>
      </c>
      <c r="J91" s="24">
        <f>(1-$D91)*E91</f>
        <v>0</v>
      </c>
      <c r="K91" s="24">
        <f>(1-$D91)*F91</f>
        <v>26000</v>
      </c>
      <c r="L91" s="24">
        <f>G91</f>
        <v>4000</v>
      </c>
      <c r="M91" s="24">
        <f>(1-$D91)*H91</f>
        <v>0</v>
      </c>
      <c r="N91" s="24">
        <f>(1-$D91)*I91</f>
        <v>0</v>
      </c>
      <c r="O91" s="24">
        <v>13380</v>
      </c>
      <c r="P91" s="24">
        <v>7550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-3030</v>
      </c>
      <c r="Z91" s="24">
        <f>SUM(J91:Y91)</f>
        <v>47900</v>
      </c>
      <c r="AA91" s="24">
        <v>27900</v>
      </c>
      <c r="AB91" s="20">
        <f>Z91-AA91</f>
        <v>20000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  <c r="AF91" s="25" t="s">
        <v>325</v>
      </c>
    </row>
    <row r="92" spans="1:32" x14ac:dyDescent="0.25">
      <c r="A92" s="22" t="s">
        <v>204</v>
      </c>
      <c r="B92" s="22" t="s">
        <v>205</v>
      </c>
      <c r="C92" s="22" t="s">
        <v>49</v>
      </c>
      <c r="D92" s="23">
        <v>0.25</v>
      </c>
      <c r="E92" s="24">
        <v>0</v>
      </c>
      <c r="F92" s="24">
        <v>26000</v>
      </c>
      <c r="G92" s="24">
        <v>4000</v>
      </c>
      <c r="H92" s="24">
        <v>1000</v>
      </c>
      <c r="I92" s="24">
        <v>0</v>
      </c>
      <c r="J92" s="24">
        <f>(1-$D92)*E92</f>
        <v>0</v>
      </c>
      <c r="K92" s="24">
        <f>(1-$D92)*F92</f>
        <v>19500</v>
      </c>
      <c r="L92" s="24">
        <f>G92</f>
        <v>4000</v>
      </c>
      <c r="M92" s="24">
        <f>(1-$D92)*H92</f>
        <v>750</v>
      </c>
      <c r="N92" s="24">
        <f>(1-$D92)*I92</f>
        <v>0</v>
      </c>
      <c r="O92" s="24">
        <v>6840</v>
      </c>
      <c r="P92" s="24">
        <v>5300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3500</v>
      </c>
      <c r="Z92" s="24">
        <f>SUM(J92:Y92)</f>
        <v>39890</v>
      </c>
      <c r="AA92" s="24">
        <v>0</v>
      </c>
      <c r="AB92" s="20">
        <f>Z92-AA92</f>
        <v>39890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  <c r="AF92" s="25" t="s">
        <v>325</v>
      </c>
    </row>
    <row r="93" spans="1:32" x14ac:dyDescent="0.25">
      <c r="A93" s="22" t="s">
        <v>146</v>
      </c>
      <c r="B93" s="22" t="s">
        <v>147</v>
      </c>
      <c r="C93" s="22" t="s">
        <v>44</v>
      </c>
      <c r="D93" s="23">
        <v>0</v>
      </c>
      <c r="E93" s="24">
        <v>0</v>
      </c>
      <c r="F93" s="24">
        <v>26000</v>
      </c>
      <c r="G93" s="24">
        <v>4000</v>
      </c>
      <c r="H93" s="24">
        <v>0</v>
      </c>
      <c r="I93" s="24">
        <v>0</v>
      </c>
      <c r="J93" s="24">
        <f>(1-$D93)*E93</f>
        <v>0</v>
      </c>
      <c r="K93" s="24">
        <f>(1-$D93)*F93</f>
        <v>26000</v>
      </c>
      <c r="L93" s="24">
        <f>G93</f>
        <v>4000</v>
      </c>
      <c r="M93" s="24">
        <f>(1-$D93)*H93</f>
        <v>0</v>
      </c>
      <c r="N93" s="24">
        <f>(1-$D93)*I93</f>
        <v>0</v>
      </c>
      <c r="O93" s="24">
        <v>13380</v>
      </c>
      <c r="P93" s="24">
        <v>7550</v>
      </c>
      <c r="Q93" s="24">
        <v>0</v>
      </c>
      <c r="R93" s="24">
        <v>0</v>
      </c>
      <c r="S93" s="24">
        <v>0</v>
      </c>
      <c r="T93" s="24">
        <v>6000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>SUM(J93:Y93)</f>
        <v>56930</v>
      </c>
      <c r="AA93" s="24">
        <v>44700</v>
      </c>
      <c r="AB93" s="20">
        <f>Z93-AA93</f>
        <v>12230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  <c r="AF93" s="25" t="s">
        <v>325</v>
      </c>
    </row>
    <row r="94" spans="1:32" x14ac:dyDescent="0.25">
      <c r="A94" s="22" t="s">
        <v>102</v>
      </c>
      <c r="B94" s="22" t="s">
        <v>104</v>
      </c>
      <c r="C94" s="22" t="s">
        <v>44</v>
      </c>
      <c r="D94" s="23">
        <v>0.25</v>
      </c>
      <c r="E94" s="24">
        <v>0</v>
      </c>
      <c r="F94" s="24">
        <v>26000</v>
      </c>
      <c r="G94" s="24">
        <v>4000</v>
      </c>
      <c r="H94" s="24">
        <v>0</v>
      </c>
      <c r="I94" s="24">
        <v>0</v>
      </c>
      <c r="J94" s="24">
        <f>(1-$D94)*E94</f>
        <v>0</v>
      </c>
      <c r="K94" s="24">
        <f>(1-$D94)*F94</f>
        <v>19500</v>
      </c>
      <c r="L94" s="24">
        <f>G94</f>
        <v>4000</v>
      </c>
      <c r="M94" s="24">
        <f>(1-$D94)*H94</f>
        <v>0</v>
      </c>
      <c r="N94" s="24">
        <f>(1-$D94)*I94</f>
        <v>0</v>
      </c>
      <c r="O94" s="24">
        <v>13380</v>
      </c>
      <c r="P94" s="24">
        <v>7550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>SUM(J94:Y94)</f>
        <v>50430</v>
      </c>
      <c r="AA94" s="24">
        <v>0</v>
      </c>
      <c r="AB94" s="20">
        <f>Z94-AA94</f>
        <v>50430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 t="str">
        <f>IF(($T94+$W94-$AB94)&gt;=$T94+8000,W94,"")</f>
        <v/>
      </c>
      <c r="AF94" s="25" t="s">
        <v>325</v>
      </c>
    </row>
    <row r="95" spans="1:32" x14ac:dyDescent="0.25">
      <c r="A95" s="22" t="s">
        <v>102</v>
      </c>
      <c r="B95" s="22" t="s">
        <v>103</v>
      </c>
      <c r="C95" s="22" t="s">
        <v>33</v>
      </c>
      <c r="D95" s="23">
        <v>0.25</v>
      </c>
      <c r="E95" s="24">
        <v>0</v>
      </c>
      <c r="F95" s="24">
        <v>28000</v>
      </c>
      <c r="G95" s="24">
        <v>4000</v>
      </c>
      <c r="H95" s="24">
        <v>2500</v>
      </c>
      <c r="I95" s="24">
        <v>5000</v>
      </c>
      <c r="J95" s="24">
        <f>(1-$D95)*E95</f>
        <v>0</v>
      </c>
      <c r="K95" s="24">
        <f>(1-$D95)*F95</f>
        <v>21000</v>
      </c>
      <c r="L95" s="24">
        <f>G95</f>
        <v>4000</v>
      </c>
      <c r="M95" s="24">
        <f>(1-$D95)*H95</f>
        <v>1875</v>
      </c>
      <c r="N95" s="24">
        <f>(1-$D95)*I95</f>
        <v>3750</v>
      </c>
      <c r="O95" s="24">
        <v>25970</v>
      </c>
      <c r="P95" s="24">
        <v>11330</v>
      </c>
      <c r="Q95" s="24">
        <v>0</v>
      </c>
      <c r="R95" s="24">
        <v>0</v>
      </c>
      <c r="S95" s="24">
        <v>0</v>
      </c>
      <c r="T95" s="24">
        <v>6000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>SUM(J95:Y95)</f>
        <v>73925</v>
      </c>
      <c r="AA95" s="24">
        <v>0</v>
      </c>
      <c r="AB95" s="20">
        <f>Z95-AA95</f>
        <v>73925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  <c r="AF95" s="25" t="s">
        <v>325</v>
      </c>
    </row>
    <row r="96" spans="1:32" x14ac:dyDescent="0.25">
      <c r="A96" s="22" t="s">
        <v>102</v>
      </c>
      <c r="B96" s="22" t="s">
        <v>105</v>
      </c>
      <c r="C96" s="22" t="s">
        <v>46</v>
      </c>
      <c r="D96" s="23">
        <v>0.25</v>
      </c>
      <c r="E96" s="24">
        <v>0</v>
      </c>
      <c r="F96" s="24">
        <v>28000</v>
      </c>
      <c r="G96" s="24">
        <v>4000</v>
      </c>
      <c r="H96" s="24">
        <v>0</v>
      </c>
      <c r="I96" s="24">
        <v>5000</v>
      </c>
      <c r="J96" s="24">
        <f>(1-$D96)*E96</f>
        <v>0</v>
      </c>
      <c r="K96" s="24">
        <f>(1-$D96)*F96</f>
        <v>21000</v>
      </c>
      <c r="L96" s="24">
        <f>G96</f>
        <v>4000</v>
      </c>
      <c r="M96" s="24">
        <f>(1-$D96)*H96</f>
        <v>0</v>
      </c>
      <c r="N96" s="24">
        <f>(1-$D96)*I96</f>
        <v>3750</v>
      </c>
      <c r="O96" s="24">
        <v>27310</v>
      </c>
      <c r="P96" s="24">
        <v>13230</v>
      </c>
      <c r="Q96" s="24">
        <v>0</v>
      </c>
      <c r="R96" s="24">
        <v>0</v>
      </c>
      <c r="S96" s="24">
        <v>0</v>
      </c>
      <c r="T96" s="24">
        <v>6000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>SUM(J96:Y96)</f>
        <v>75290</v>
      </c>
      <c r="AA96" s="24">
        <v>0</v>
      </c>
      <c r="AB96" s="20">
        <f>Z96-AA96</f>
        <v>75290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 t="str">
        <f>IF(($T96+$W96-$AB96)&gt;=$T96+8000,W96,"")</f>
        <v/>
      </c>
      <c r="AF96" s="25" t="s">
        <v>325</v>
      </c>
    </row>
    <row r="97" spans="1:32" x14ac:dyDescent="0.25">
      <c r="A97" s="22" t="s">
        <v>106</v>
      </c>
      <c r="B97" s="22" t="s">
        <v>45</v>
      </c>
      <c r="C97" s="22" t="s">
        <v>33</v>
      </c>
      <c r="D97" s="23">
        <v>0</v>
      </c>
      <c r="E97" s="24">
        <v>0</v>
      </c>
      <c r="F97" s="24">
        <v>28000</v>
      </c>
      <c r="G97" s="24">
        <v>4000</v>
      </c>
      <c r="H97" s="24">
        <v>2500</v>
      </c>
      <c r="I97" s="24">
        <v>5000</v>
      </c>
      <c r="J97" s="24">
        <f>(1-$D97)*E97</f>
        <v>0</v>
      </c>
      <c r="K97" s="24">
        <f>(1-$D97)*F97</f>
        <v>28000</v>
      </c>
      <c r="L97" s="24">
        <f>G97</f>
        <v>4000</v>
      </c>
      <c r="M97" s="24">
        <f>(1-$D97)*H97</f>
        <v>2500</v>
      </c>
      <c r="N97" s="24">
        <f>(1-$D97)*I97</f>
        <v>5000</v>
      </c>
      <c r="O97" s="24">
        <v>25970</v>
      </c>
      <c r="P97" s="24">
        <v>11330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>SUM(J97:Y97)</f>
        <v>76800</v>
      </c>
      <c r="AA97" s="24">
        <v>0</v>
      </c>
      <c r="AB97" s="20">
        <f>Z97-AA97</f>
        <v>76800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 t="str">
        <f>IF(($T97+$W97-$AB97)&gt;=$T97+8000,W97,"")</f>
        <v/>
      </c>
      <c r="AF97" s="25" t="s">
        <v>325</v>
      </c>
    </row>
    <row r="98" spans="1:32" x14ac:dyDescent="0.25">
      <c r="A98" s="22" t="s">
        <v>107</v>
      </c>
      <c r="B98" s="22" t="s">
        <v>108</v>
      </c>
      <c r="C98" s="22" t="s">
        <v>59</v>
      </c>
      <c r="D98" s="23">
        <v>1</v>
      </c>
      <c r="E98" s="24">
        <v>0</v>
      </c>
      <c r="F98" s="24">
        <v>28000</v>
      </c>
      <c r="G98" s="24">
        <v>4000</v>
      </c>
      <c r="H98" s="24">
        <v>0</v>
      </c>
      <c r="I98" s="24">
        <v>5000</v>
      </c>
      <c r="J98" s="24">
        <f>(1-$D98)*E98</f>
        <v>0</v>
      </c>
      <c r="K98" s="24">
        <f>(1-$D98)*F98</f>
        <v>0</v>
      </c>
      <c r="L98" s="24">
        <f>G98</f>
        <v>4000</v>
      </c>
      <c r="M98" s="24">
        <f>(1-$D98)*H98</f>
        <v>0</v>
      </c>
      <c r="N98" s="24">
        <f>(1-$D98)*I98</f>
        <v>0</v>
      </c>
      <c r="O98" s="24">
        <v>27330</v>
      </c>
      <c r="P98" s="24">
        <v>13230</v>
      </c>
      <c r="Q98" s="24">
        <v>0</v>
      </c>
      <c r="R98" s="24">
        <v>0</v>
      </c>
      <c r="S98" s="24">
        <v>0</v>
      </c>
      <c r="T98" s="24">
        <v>6000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>SUM(J98:Y98)</f>
        <v>50560</v>
      </c>
      <c r="AA98" s="24">
        <v>0</v>
      </c>
      <c r="AB98" s="20">
        <f>Z98-AA98</f>
        <v>50560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  <c r="AF98" s="25" t="s">
        <v>325</v>
      </c>
    </row>
    <row r="99" spans="1:32" x14ac:dyDescent="0.25">
      <c r="A99" s="22" t="s">
        <v>109</v>
      </c>
      <c r="B99" s="22" t="s">
        <v>164</v>
      </c>
      <c r="C99" s="22" t="s">
        <v>30</v>
      </c>
      <c r="D99" s="23">
        <v>0.25</v>
      </c>
      <c r="E99" s="24">
        <v>0</v>
      </c>
      <c r="F99" s="24">
        <v>26000</v>
      </c>
      <c r="G99" s="24">
        <v>4000</v>
      </c>
      <c r="H99" s="24">
        <v>1000</v>
      </c>
      <c r="I99" s="24">
        <v>0</v>
      </c>
      <c r="J99" s="24">
        <f>(1-$D99)*E99</f>
        <v>0</v>
      </c>
      <c r="K99" s="24">
        <f>(1-$D99)*F99</f>
        <v>19500</v>
      </c>
      <c r="L99" s="24">
        <f>G99</f>
        <v>4000</v>
      </c>
      <c r="M99" s="24">
        <f>(1-$D99)*H99</f>
        <v>750</v>
      </c>
      <c r="N99" s="24">
        <f>(1-$D99)*I99</f>
        <v>0</v>
      </c>
      <c r="O99" s="24">
        <v>12480</v>
      </c>
      <c r="P99" s="24">
        <v>7550</v>
      </c>
      <c r="Q99" s="24">
        <v>0</v>
      </c>
      <c r="R99" s="24">
        <v>0</v>
      </c>
      <c r="S99" s="24">
        <v>0</v>
      </c>
      <c r="T99" s="24">
        <v>6000</v>
      </c>
      <c r="U99" s="24">
        <v>0</v>
      </c>
      <c r="V99" s="24">
        <v>0</v>
      </c>
      <c r="W99" s="24">
        <v>0</v>
      </c>
      <c r="X99" s="24">
        <v>0</v>
      </c>
      <c r="Y99" s="24">
        <v>65</v>
      </c>
      <c r="Z99" s="24">
        <f>SUM(J99:Y99)</f>
        <v>50345</v>
      </c>
      <c r="AA99" s="24">
        <v>0</v>
      </c>
      <c r="AB99" s="20">
        <f>Z99-AA99</f>
        <v>50345</v>
      </c>
      <c r="AC99" s="24" t="str">
        <f>IF(AND($T99=6000, ($T99+$W99-$AB99)&gt;=6000),T99,"")</f>
        <v/>
      </c>
      <c r="AD99" s="24" t="str">
        <f>IF(AND($T99=8000, ($T99+$W99-$AB99)&gt;=8000),T99,"")</f>
        <v/>
      </c>
      <c r="AE99" s="24" t="str">
        <f>IF(($T99+$W99-$AB99)&gt;=$T99+8000,W99,"")</f>
        <v/>
      </c>
      <c r="AF99" s="25" t="s">
        <v>325</v>
      </c>
    </row>
    <row r="100" spans="1:32" x14ac:dyDescent="0.25">
      <c r="A100" s="22" t="s">
        <v>109</v>
      </c>
      <c r="B100" s="22" t="s">
        <v>110</v>
      </c>
      <c r="C100" s="22" t="s">
        <v>33</v>
      </c>
      <c r="D100" s="23">
        <v>0.25</v>
      </c>
      <c r="E100" s="24">
        <v>0</v>
      </c>
      <c r="F100" s="24">
        <v>28000</v>
      </c>
      <c r="G100" s="24">
        <v>4000</v>
      </c>
      <c r="H100" s="24">
        <v>2500</v>
      </c>
      <c r="I100" s="24">
        <v>5000</v>
      </c>
      <c r="J100" s="24">
        <f>(1-$D100)*E100</f>
        <v>0</v>
      </c>
      <c r="K100" s="24">
        <f>(1-$D100)*F100</f>
        <v>21000</v>
      </c>
      <c r="L100" s="24">
        <f>G100</f>
        <v>4000</v>
      </c>
      <c r="M100" s="24">
        <f>(1-$D100)*H100</f>
        <v>1875</v>
      </c>
      <c r="N100" s="24">
        <f>(1-$D100)*I100</f>
        <v>3750</v>
      </c>
      <c r="O100" s="24">
        <v>25970</v>
      </c>
      <c r="P100" s="24">
        <v>11330</v>
      </c>
      <c r="Q100" s="24">
        <v>0</v>
      </c>
      <c r="R100" s="24">
        <v>0</v>
      </c>
      <c r="S100" s="24">
        <v>0</v>
      </c>
      <c r="T100" s="24">
        <v>6000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>SUM(J100:Y100)</f>
        <v>73925</v>
      </c>
      <c r="AA100" s="24">
        <v>0</v>
      </c>
      <c r="AB100" s="20">
        <f>Z100-AA100</f>
        <v>73925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  <c r="AF100" s="25" t="s">
        <v>325</v>
      </c>
    </row>
    <row r="101" spans="1:32" x14ac:dyDescent="0.25">
      <c r="A101" s="22" t="s">
        <v>111</v>
      </c>
      <c r="B101" s="22" t="s">
        <v>112</v>
      </c>
      <c r="C101" s="22" t="s">
        <v>67</v>
      </c>
      <c r="D101" s="23">
        <v>0.3</v>
      </c>
      <c r="E101" s="24">
        <v>0</v>
      </c>
      <c r="F101" s="24">
        <v>33000</v>
      </c>
      <c r="G101" s="24">
        <v>5000</v>
      </c>
      <c r="H101" s="24">
        <v>2000</v>
      </c>
      <c r="I101" s="24">
        <v>6000</v>
      </c>
      <c r="J101" s="24">
        <f>(1-$D101)*E101</f>
        <v>0</v>
      </c>
      <c r="K101" s="24">
        <f>(1-$D101)*F101</f>
        <v>23100</v>
      </c>
      <c r="L101" s="24">
        <f>G101</f>
        <v>5000</v>
      </c>
      <c r="M101" s="24">
        <f>(1-$D101)*H101</f>
        <v>1400</v>
      </c>
      <c r="N101" s="24">
        <f>(1-$D101)*I101</f>
        <v>4200</v>
      </c>
      <c r="O101" s="24">
        <v>22400</v>
      </c>
      <c r="P101" s="24">
        <v>14330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>SUM(J101:Y101)</f>
        <v>70430</v>
      </c>
      <c r="AA101" s="24">
        <v>0</v>
      </c>
      <c r="AB101" s="20">
        <f>Z101-AA101</f>
        <v>70430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  <c r="AF101" s="25" t="s">
        <v>325</v>
      </c>
    </row>
    <row r="102" spans="1:32" x14ac:dyDescent="0.25">
      <c r="A102" s="22" t="s">
        <v>211</v>
      </c>
      <c r="B102" s="22" t="s">
        <v>212</v>
      </c>
      <c r="C102" s="22" t="s">
        <v>49</v>
      </c>
      <c r="D102" s="23">
        <v>0.05</v>
      </c>
      <c r="E102" s="24">
        <v>0</v>
      </c>
      <c r="F102" s="24">
        <v>26000</v>
      </c>
      <c r="G102" s="24">
        <v>4000</v>
      </c>
      <c r="H102" s="24">
        <v>1000</v>
      </c>
      <c r="I102" s="24">
        <v>0</v>
      </c>
      <c r="J102" s="24">
        <f>(1-$D102)*E102</f>
        <v>0</v>
      </c>
      <c r="K102" s="24">
        <f>(1-$D102)*F102</f>
        <v>24700</v>
      </c>
      <c r="L102" s="24">
        <f>G102</f>
        <v>4000</v>
      </c>
      <c r="M102" s="24">
        <f>(1-$D102)*H102</f>
        <v>950</v>
      </c>
      <c r="N102" s="24">
        <f>(1-$D102)*I102</f>
        <v>0</v>
      </c>
      <c r="O102" s="24">
        <v>6840</v>
      </c>
      <c r="P102" s="24">
        <v>5300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-10000</v>
      </c>
      <c r="Z102" s="24">
        <f>SUM(J102:Y102)</f>
        <v>31790</v>
      </c>
      <c r="AA102" s="24">
        <v>33140</v>
      </c>
      <c r="AB102" s="20">
        <f>Z102-AA102</f>
        <v>-1350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  <c r="AF102" s="25" t="s">
        <v>326</v>
      </c>
    </row>
    <row r="103" spans="1:32" x14ac:dyDescent="0.25">
      <c r="A103" s="22" t="s">
        <v>113</v>
      </c>
      <c r="B103" s="22" t="s">
        <v>115</v>
      </c>
      <c r="C103" s="22" t="s">
        <v>44</v>
      </c>
      <c r="D103" s="23">
        <v>0.5</v>
      </c>
      <c r="E103" s="24">
        <v>0</v>
      </c>
      <c r="F103" s="24">
        <v>26000</v>
      </c>
      <c r="G103" s="24">
        <v>4000</v>
      </c>
      <c r="H103" s="24">
        <v>0</v>
      </c>
      <c r="I103" s="24">
        <v>0</v>
      </c>
      <c r="J103" s="24">
        <f>(1-$D103)*E103</f>
        <v>0</v>
      </c>
      <c r="K103" s="24">
        <f>(1-$D103)*F103</f>
        <v>13000</v>
      </c>
      <c r="L103" s="24">
        <f>G103</f>
        <v>4000</v>
      </c>
      <c r="M103" s="24">
        <f>(1-$D103)*H103</f>
        <v>0</v>
      </c>
      <c r="N103" s="24">
        <f>(1-$D103)*I103</f>
        <v>0</v>
      </c>
      <c r="O103" s="24">
        <v>13380</v>
      </c>
      <c r="P103" s="24">
        <v>7550</v>
      </c>
      <c r="Q103" s="24">
        <v>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8000</v>
      </c>
      <c r="Z103" s="24">
        <f>SUM(J103:Y103)</f>
        <v>45930</v>
      </c>
      <c r="AA103" s="24">
        <v>0</v>
      </c>
      <c r="AB103" s="20">
        <f>Z103-AA103</f>
        <v>45930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  <c r="AF103" s="25" t="s">
        <v>325</v>
      </c>
    </row>
    <row r="104" spans="1:32" x14ac:dyDescent="0.25">
      <c r="A104" s="22" t="s">
        <v>113</v>
      </c>
      <c r="B104" s="22" t="s">
        <v>114</v>
      </c>
      <c r="C104" s="22" t="s">
        <v>48</v>
      </c>
      <c r="D104" s="23">
        <v>0.5</v>
      </c>
      <c r="E104" s="24">
        <v>0</v>
      </c>
      <c r="F104" s="24">
        <v>28000</v>
      </c>
      <c r="G104" s="24">
        <v>4000</v>
      </c>
      <c r="H104" s="24">
        <v>0</v>
      </c>
      <c r="I104" s="24">
        <v>5000</v>
      </c>
      <c r="J104" s="24">
        <f>(1-$D104)*E104</f>
        <v>0</v>
      </c>
      <c r="K104" s="24">
        <f>(1-$D104)*F104</f>
        <v>14000</v>
      </c>
      <c r="L104" s="24">
        <f>G104</f>
        <v>4000</v>
      </c>
      <c r="M104" s="24">
        <f>(1-$D104)*H104</f>
        <v>0</v>
      </c>
      <c r="N104" s="24">
        <f>(1-$D104)*I104</f>
        <v>2500</v>
      </c>
      <c r="O104" s="24">
        <v>26150</v>
      </c>
      <c r="P104" s="24">
        <v>11330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>SUM(J104:Y104)</f>
        <v>57980</v>
      </c>
      <c r="AA104" s="24">
        <v>0</v>
      </c>
      <c r="AB104" s="20">
        <f>Z104-AA104</f>
        <v>57980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  <c r="AF104" s="25" t="s">
        <v>325</v>
      </c>
    </row>
    <row r="105" spans="1:32" x14ac:dyDescent="0.25">
      <c r="A105" s="22" t="s">
        <v>116</v>
      </c>
      <c r="B105" s="22" t="s">
        <v>117</v>
      </c>
      <c r="C105" s="22" t="s">
        <v>67</v>
      </c>
      <c r="D105" s="23">
        <v>0.5</v>
      </c>
      <c r="E105" s="24">
        <v>0</v>
      </c>
      <c r="F105" s="24">
        <v>33000</v>
      </c>
      <c r="G105" s="24">
        <v>5000</v>
      </c>
      <c r="H105" s="24">
        <v>2000</v>
      </c>
      <c r="I105" s="24">
        <v>6000</v>
      </c>
      <c r="J105" s="24">
        <f>(1-$D105)*E105</f>
        <v>0</v>
      </c>
      <c r="K105" s="24">
        <f>(1-$D105)*F105</f>
        <v>16500</v>
      </c>
      <c r="L105" s="24">
        <f>G105</f>
        <v>5000</v>
      </c>
      <c r="M105" s="24">
        <f>(1-$D105)*H105</f>
        <v>1000</v>
      </c>
      <c r="N105" s="24">
        <f>(1-$D105)*I105</f>
        <v>3000</v>
      </c>
      <c r="O105" s="24">
        <v>22400</v>
      </c>
      <c r="P105" s="24">
        <v>14330</v>
      </c>
      <c r="Q105" s="24">
        <v>0</v>
      </c>
      <c r="R105" s="24">
        <v>0</v>
      </c>
      <c r="S105" s="24">
        <v>0</v>
      </c>
      <c r="T105" s="24">
        <v>8000</v>
      </c>
      <c r="U105" s="24">
        <v>0</v>
      </c>
      <c r="V105" s="24">
        <v>0</v>
      </c>
      <c r="W105" s="24">
        <v>0</v>
      </c>
      <c r="X105" s="24">
        <v>0</v>
      </c>
      <c r="Y105" s="24">
        <v>-3145</v>
      </c>
      <c r="Z105" s="24">
        <f>SUM(J105:Y105)</f>
        <v>67085</v>
      </c>
      <c r="AA105" s="24">
        <v>0</v>
      </c>
      <c r="AB105" s="20">
        <f>Z105-AA105</f>
        <v>67085</v>
      </c>
      <c r="AC105" s="24" t="str">
        <f>IF(AND($T105=6000, ($T105+$W105-$AB105)&gt;=6000),T105,"")</f>
        <v/>
      </c>
      <c r="AD105" s="24" t="str">
        <f>IF(AND($T105=8000, ($T105+$W105-$AB105)&gt;=8000),T105,"")</f>
        <v/>
      </c>
      <c r="AE105" s="24" t="str">
        <f>IF(($T105+$W105-$AB105)&gt;=$T105+8000,W105,"")</f>
        <v/>
      </c>
      <c r="AF105" s="25" t="s">
        <v>325</v>
      </c>
    </row>
    <row r="106" spans="1:32" x14ac:dyDescent="0.25">
      <c r="A106" s="22" t="s">
        <v>118</v>
      </c>
      <c r="B106" s="22" t="s">
        <v>119</v>
      </c>
      <c r="C106" s="22" t="s">
        <v>44</v>
      </c>
      <c r="D106" s="23">
        <v>0.25</v>
      </c>
      <c r="E106" s="24">
        <v>0</v>
      </c>
      <c r="F106" s="24">
        <v>26000</v>
      </c>
      <c r="G106" s="24">
        <v>4000</v>
      </c>
      <c r="H106" s="24">
        <v>0</v>
      </c>
      <c r="I106" s="24">
        <v>0</v>
      </c>
      <c r="J106" s="24">
        <f>(1-$D106)*E106</f>
        <v>0</v>
      </c>
      <c r="K106" s="24">
        <f>(1-$D106)*F106</f>
        <v>19500</v>
      </c>
      <c r="L106" s="24">
        <f>G106</f>
        <v>4000</v>
      </c>
      <c r="M106" s="24">
        <f>(1-$D106)*H106</f>
        <v>0</v>
      </c>
      <c r="N106" s="24">
        <f>(1-$D106)*I106</f>
        <v>0</v>
      </c>
      <c r="O106" s="24">
        <v>13380</v>
      </c>
      <c r="P106" s="24">
        <v>7550</v>
      </c>
      <c r="Q106" s="24">
        <v>8000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>SUM(J106:Y106)</f>
        <v>52430</v>
      </c>
      <c r="AA106" s="24">
        <v>0</v>
      </c>
      <c r="AB106" s="20">
        <f>Z106-AA106</f>
        <v>52430</v>
      </c>
      <c r="AC106" s="24" t="str">
        <f>IF(AND($T106=6000, ($T106+$W106-$AB106)&gt;=6000),T106,"")</f>
        <v/>
      </c>
      <c r="AD106" s="24" t="str">
        <f>IF(AND($T106=8000, ($T106+$W106-$AB106)&gt;=8000),T106,"")</f>
        <v/>
      </c>
      <c r="AE106" s="24" t="str">
        <f>IF(($T106+$W106-$AB106)&gt;=$T106+8000,W106,"")</f>
        <v/>
      </c>
      <c r="AF106" s="25" t="s">
        <v>325</v>
      </c>
    </row>
    <row r="107" spans="1:32" x14ac:dyDescent="0.25">
      <c r="A107" s="22" t="s">
        <v>118</v>
      </c>
      <c r="B107" s="22" t="s">
        <v>120</v>
      </c>
      <c r="C107" s="22" t="s">
        <v>46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>(1-$D107)*E107</f>
        <v>0</v>
      </c>
      <c r="K107" s="24">
        <f>(1-$D107)*F107</f>
        <v>21000</v>
      </c>
      <c r="L107" s="24">
        <f>G107</f>
        <v>4000</v>
      </c>
      <c r="M107" s="24">
        <f>(1-$D107)*H107</f>
        <v>0</v>
      </c>
      <c r="N107" s="24">
        <f>(1-$D107)*I107</f>
        <v>3750</v>
      </c>
      <c r="O107" s="24">
        <v>27310</v>
      </c>
      <c r="P107" s="24">
        <v>13230</v>
      </c>
      <c r="Q107" s="24">
        <v>8000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77290</v>
      </c>
      <c r="AA107" s="24">
        <v>0</v>
      </c>
      <c r="AB107" s="20">
        <f>Z107-AA107</f>
        <v>77290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  <c r="AF107" s="25" t="s">
        <v>325</v>
      </c>
    </row>
    <row r="108" spans="1:32" x14ac:dyDescent="0.25">
      <c r="A108" s="22" t="s">
        <v>198</v>
      </c>
      <c r="B108" s="22" t="s">
        <v>31</v>
      </c>
      <c r="C108" s="22" t="s">
        <v>47</v>
      </c>
      <c r="D108" s="23">
        <v>0.25</v>
      </c>
      <c r="E108" s="24">
        <v>0</v>
      </c>
      <c r="F108" s="24">
        <v>26000</v>
      </c>
      <c r="G108" s="24">
        <v>4000</v>
      </c>
      <c r="H108" s="24">
        <v>0</v>
      </c>
      <c r="I108" s="24">
        <v>0</v>
      </c>
      <c r="J108" s="24">
        <f>(1-$D108)*E108</f>
        <v>0</v>
      </c>
      <c r="K108" s="24">
        <f>(1-$D108)*F108</f>
        <v>19500</v>
      </c>
      <c r="L108" s="24">
        <f>G108</f>
        <v>4000</v>
      </c>
      <c r="M108" s="24">
        <f>(1-$D108)*H108</f>
        <v>0</v>
      </c>
      <c r="N108" s="24">
        <f>(1-$D108)*I108</f>
        <v>0</v>
      </c>
      <c r="O108" s="24">
        <v>24930</v>
      </c>
      <c r="P108" s="24">
        <v>10730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>SUM(J108:Y108)</f>
        <v>65160</v>
      </c>
      <c r="AA108" s="24">
        <v>0</v>
      </c>
      <c r="AB108" s="20">
        <f>Z108-AA108</f>
        <v>65160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  <c r="AF108" s="25" t="s">
        <v>325</v>
      </c>
    </row>
    <row r="109" spans="1:32" x14ac:dyDescent="0.25">
      <c r="A109" s="22" t="s">
        <v>198</v>
      </c>
      <c r="B109" s="22" t="s">
        <v>32</v>
      </c>
      <c r="C109" s="22" t="s">
        <v>46</v>
      </c>
      <c r="D109" s="23">
        <v>0.25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>(1-$D109)*E109</f>
        <v>0</v>
      </c>
      <c r="K109" s="24">
        <f>(1-$D109)*F109</f>
        <v>21000</v>
      </c>
      <c r="L109" s="24">
        <f>G109</f>
        <v>4000</v>
      </c>
      <c r="M109" s="24">
        <f>(1-$D109)*H109</f>
        <v>0</v>
      </c>
      <c r="N109" s="24">
        <f>(1-$D109)*I109</f>
        <v>3750</v>
      </c>
      <c r="O109" s="24">
        <v>27310</v>
      </c>
      <c r="P109" s="24">
        <v>13230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>SUM(J109:Y109)</f>
        <v>75290</v>
      </c>
      <c r="AA109" s="24">
        <v>0</v>
      </c>
      <c r="AB109" s="20">
        <f>Z109-AA109</f>
        <v>75290</v>
      </c>
      <c r="AC109" s="24" t="str">
        <f>IF(AND($T109=6000, ($T109+$W109-$AB109)&gt;=6000),T109,"")</f>
        <v/>
      </c>
      <c r="AD109" s="24" t="str">
        <f>IF(AND($T109=8000, ($T109+$W109-$AB109)&gt;=8000),T109,"")</f>
        <v/>
      </c>
      <c r="AE109" s="24" t="str">
        <f>IF(($T109+$W109-$AB109)&gt;=$T109+8000,W109,"")</f>
        <v/>
      </c>
      <c r="AF109" s="25" t="s">
        <v>325</v>
      </c>
    </row>
    <row r="110" spans="1:32" x14ac:dyDescent="0.25">
      <c r="A110" s="22" t="s">
        <v>121</v>
      </c>
      <c r="B110" s="22" t="s">
        <v>242</v>
      </c>
      <c r="C110" s="22" t="s">
        <v>252</v>
      </c>
      <c r="D110" s="23">
        <v>0.25</v>
      </c>
      <c r="E110" s="24">
        <v>0</v>
      </c>
      <c r="F110" s="24">
        <v>26000</v>
      </c>
      <c r="G110" s="24">
        <v>2000</v>
      </c>
      <c r="H110" s="24">
        <v>0</v>
      </c>
      <c r="I110" s="24">
        <v>0</v>
      </c>
      <c r="J110" s="24">
        <f>(1-$D110)*E110</f>
        <v>0</v>
      </c>
      <c r="K110" s="24">
        <f>(1-$D110)*F110</f>
        <v>19500</v>
      </c>
      <c r="L110" s="24">
        <f>G110</f>
        <v>2000</v>
      </c>
      <c r="M110" s="24">
        <f>(1-$D110)*H110</f>
        <v>0</v>
      </c>
      <c r="N110" s="24">
        <f>(1-$D110)*I110</f>
        <v>0</v>
      </c>
      <c r="O110" s="24">
        <v>0</v>
      </c>
      <c r="P110" s="24">
        <v>3050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f>SUM(J110:Y110)</f>
        <v>24550</v>
      </c>
      <c r="AA110" s="24">
        <v>0</v>
      </c>
      <c r="AB110" s="20">
        <f>Z110-AA110</f>
        <v>24550</v>
      </c>
      <c r="AC110" s="24" t="str">
        <f>IF(AND($T110=6000, ($T110+$W110-$AB110)&gt;=6000),T110,"")</f>
        <v/>
      </c>
      <c r="AD110" s="24" t="str">
        <f>IF(AND($T110=8000, ($T110+$W110-$AB110)&gt;=8000),T110,"")</f>
        <v/>
      </c>
      <c r="AE110" s="24" t="str">
        <f>IF(($T110+$W110-$AB110)&gt;=$T110+8000,W110,"")</f>
        <v/>
      </c>
      <c r="AF110" s="25" t="s">
        <v>325</v>
      </c>
    </row>
    <row r="111" spans="1:32" x14ac:dyDescent="0.25">
      <c r="A111" s="22" t="s">
        <v>121</v>
      </c>
      <c r="B111" s="22" t="s">
        <v>122</v>
      </c>
      <c r="C111" s="22" t="s">
        <v>47</v>
      </c>
      <c r="D111" s="23">
        <v>0.25</v>
      </c>
      <c r="E111" s="24">
        <v>0</v>
      </c>
      <c r="F111" s="24">
        <v>26000</v>
      </c>
      <c r="G111" s="24">
        <v>4000</v>
      </c>
      <c r="H111" s="24">
        <v>0</v>
      </c>
      <c r="I111" s="24">
        <v>0</v>
      </c>
      <c r="J111" s="24">
        <f>(1-$D111)*E111</f>
        <v>0</v>
      </c>
      <c r="K111" s="24">
        <f>(1-$D111)*F111</f>
        <v>19500</v>
      </c>
      <c r="L111" s="24">
        <f>G111</f>
        <v>4000</v>
      </c>
      <c r="M111" s="24">
        <f>(1-$D111)*H111</f>
        <v>0</v>
      </c>
      <c r="N111" s="24">
        <f>(1-$D111)*I111</f>
        <v>0</v>
      </c>
      <c r="O111" s="24">
        <v>24930</v>
      </c>
      <c r="P111" s="24">
        <v>10730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>SUM(J111:Y111)</f>
        <v>65160</v>
      </c>
      <c r="AA111" s="24">
        <v>0</v>
      </c>
      <c r="AB111" s="20">
        <f>Z111-AA111</f>
        <v>65160</v>
      </c>
      <c r="AC111" s="24" t="str">
        <f>IF(AND($T111=6000, ($T111+$W111-$AB111)&gt;=6000),T111,"")</f>
        <v/>
      </c>
      <c r="AD111" s="24" t="str">
        <f>IF(AND($T111=8000, ($T111+$W111-$AB111)&gt;=8000),T111,"")</f>
        <v/>
      </c>
      <c r="AE111" s="24" t="str">
        <f>IF(($T111+$W111-$AB111)&gt;=$T111+8000,W111,"")</f>
        <v/>
      </c>
      <c r="AF111" s="25" t="s">
        <v>325</v>
      </c>
    </row>
    <row r="112" spans="1:32" x14ac:dyDescent="0.25">
      <c r="A112" s="22" t="s">
        <v>123</v>
      </c>
      <c r="B112" s="22" t="s">
        <v>124</v>
      </c>
      <c r="C112" s="22" t="s">
        <v>47</v>
      </c>
      <c r="D112" s="23">
        <v>0</v>
      </c>
      <c r="E112" s="24">
        <v>0</v>
      </c>
      <c r="F112" s="24">
        <v>26000</v>
      </c>
      <c r="G112" s="24">
        <v>4000</v>
      </c>
      <c r="H112" s="24">
        <v>0</v>
      </c>
      <c r="I112" s="24">
        <v>0</v>
      </c>
      <c r="J112" s="24">
        <f>(1-$D112)*E112</f>
        <v>0</v>
      </c>
      <c r="K112" s="24">
        <f>(1-$D112)*F112</f>
        <v>26000</v>
      </c>
      <c r="L112" s="24">
        <f>G112</f>
        <v>4000</v>
      </c>
      <c r="M112" s="24">
        <f>(1-$D112)*H112</f>
        <v>0</v>
      </c>
      <c r="N112" s="24">
        <f>(1-$D112)*I112</f>
        <v>0</v>
      </c>
      <c r="O112" s="24">
        <v>24930</v>
      </c>
      <c r="P112" s="24">
        <v>10730</v>
      </c>
      <c r="Q112" s="24">
        <v>0</v>
      </c>
      <c r="R112" s="24">
        <v>0</v>
      </c>
      <c r="S112" s="24">
        <v>0</v>
      </c>
      <c r="T112" s="24">
        <v>6000</v>
      </c>
      <c r="U112" s="24">
        <v>0</v>
      </c>
      <c r="V112" s="24">
        <v>0</v>
      </c>
      <c r="W112" s="24">
        <v>0</v>
      </c>
      <c r="X112" s="24">
        <v>0</v>
      </c>
      <c r="Y112" s="24">
        <v>14240</v>
      </c>
      <c r="Z112" s="24">
        <f>SUM(J112:Y112)</f>
        <v>85900</v>
      </c>
      <c r="AA112" s="24">
        <v>50000</v>
      </c>
      <c r="AB112" s="20">
        <f>Z112-AA112</f>
        <v>35900</v>
      </c>
      <c r="AC112" s="24" t="str">
        <f>IF(AND($T112=6000, ($T112+$W112-$AB112)&gt;=6000),T112,"")</f>
        <v/>
      </c>
      <c r="AD112" s="24" t="str">
        <f>IF(AND($T112=8000, ($T112+$W112-$AB112)&gt;=8000),T112,"")</f>
        <v/>
      </c>
      <c r="AE112" s="24" t="str">
        <f>IF(($T112+$W112-$AB112)&gt;=$T112+8000,W112,"")</f>
        <v/>
      </c>
      <c r="AF112" s="25" t="s">
        <v>325</v>
      </c>
    </row>
    <row r="113" spans="1:32" x14ac:dyDescent="0.25">
      <c r="A113" s="22" t="s">
        <v>125</v>
      </c>
      <c r="B113" s="22" t="s">
        <v>128</v>
      </c>
      <c r="C113" s="22" t="s">
        <v>44</v>
      </c>
      <c r="D113" s="23">
        <v>0.25</v>
      </c>
      <c r="E113" s="24">
        <v>0</v>
      </c>
      <c r="F113" s="24">
        <v>26000</v>
      </c>
      <c r="G113" s="24">
        <v>4000</v>
      </c>
      <c r="H113" s="24">
        <v>0</v>
      </c>
      <c r="I113" s="24">
        <v>0</v>
      </c>
      <c r="J113" s="24">
        <f>(1-$D113)*E113</f>
        <v>0</v>
      </c>
      <c r="K113" s="24">
        <f>(1-$D113)*F113</f>
        <v>19500</v>
      </c>
      <c r="L113" s="24">
        <f>G113</f>
        <v>4000</v>
      </c>
      <c r="M113" s="24">
        <f>(1-$D113)*H113</f>
        <v>0</v>
      </c>
      <c r="N113" s="24">
        <f>(1-$D113)*I113</f>
        <v>0</v>
      </c>
      <c r="O113" s="24">
        <v>13380</v>
      </c>
      <c r="P113" s="24">
        <v>7550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>SUM(J113:Y113)</f>
        <v>44430</v>
      </c>
      <c r="AA113" s="24">
        <v>44430</v>
      </c>
      <c r="AB113" s="20">
        <f>Z113-AA113</f>
        <v>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  <c r="AF113" s="25" t="s">
        <v>325</v>
      </c>
    </row>
    <row r="114" spans="1:32" x14ac:dyDescent="0.25">
      <c r="A114" s="22" t="s">
        <v>125</v>
      </c>
      <c r="B114" s="22" t="s">
        <v>127</v>
      </c>
      <c r="C114" s="22" t="s">
        <v>48</v>
      </c>
      <c r="D114" s="23">
        <v>0.25</v>
      </c>
      <c r="E114" s="24">
        <v>0</v>
      </c>
      <c r="F114" s="24">
        <v>28000</v>
      </c>
      <c r="G114" s="24">
        <v>4000</v>
      </c>
      <c r="H114" s="24">
        <v>0</v>
      </c>
      <c r="I114" s="24">
        <v>5000</v>
      </c>
      <c r="J114" s="24">
        <f>(1-$D114)*E114</f>
        <v>0</v>
      </c>
      <c r="K114" s="24">
        <f>(1-$D114)*F114</f>
        <v>21000</v>
      </c>
      <c r="L114" s="24">
        <f>G114</f>
        <v>4000</v>
      </c>
      <c r="M114" s="24">
        <f>(1-$D114)*H114</f>
        <v>0</v>
      </c>
      <c r="N114" s="24">
        <f>(1-$D114)*I114</f>
        <v>3750</v>
      </c>
      <c r="O114" s="24">
        <v>26150</v>
      </c>
      <c r="P114" s="24">
        <v>11330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f>SUM(J114:Y114)</f>
        <v>66230</v>
      </c>
      <c r="AA114" s="24">
        <v>55570</v>
      </c>
      <c r="AB114" s="20">
        <f>Z114-AA114</f>
        <v>10660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  <c r="AF114" s="25" t="s">
        <v>325</v>
      </c>
    </row>
    <row r="115" spans="1:32" x14ac:dyDescent="0.25">
      <c r="A115" s="22" t="s">
        <v>125</v>
      </c>
      <c r="B115" s="22" t="s">
        <v>129</v>
      </c>
      <c r="C115" s="22" t="s">
        <v>248</v>
      </c>
      <c r="D115" s="23">
        <v>0.25</v>
      </c>
      <c r="E115" s="24">
        <v>0</v>
      </c>
      <c r="F115" s="24">
        <v>28000</v>
      </c>
      <c r="G115" s="24">
        <v>4000</v>
      </c>
      <c r="H115" s="24">
        <v>0</v>
      </c>
      <c r="I115" s="24">
        <v>5000</v>
      </c>
      <c r="J115" s="24">
        <f>(1-$D115)*E115</f>
        <v>0</v>
      </c>
      <c r="K115" s="24">
        <f>(1-$D115)*F115</f>
        <v>21000</v>
      </c>
      <c r="L115" s="24">
        <f>G115</f>
        <v>4000</v>
      </c>
      <c r="M115" s="24">
        <f>(1-$D115)*H115</f>
        <v>0</v>
      </c>
      <c r="N115" s="24">
        <f>(1-$D115)*I115</f>
        <v>3750</v>
      </c>
      <c r="O115" s="24">
        <v>28790</v>
      </c>
      <c r="P115" s="24">
        <v>13230</v>
      </c>
      <c r="Q115" s="24">
        <v>0</v>
      </c>
      <c r="R115" s="24">
        <v>0</v>
      </c>
      <c r="S115" s="24">
        <v>0</v>
      </c>
      <c r="T115" s="24">
        <v>6000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>SUM(J115:Y115)</f>
        <v>76770</v>
      </c>
      <c r="AA115" s="24">
        <v>0</v>
      </c>
      <c r="AB115" s="20">
        <f>Z115-AA115</f>
        <v>76770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  <c r="AF115" s="25" t="s">
        <v>325</v>
      </c>
    </row>
    <row r="116" spans="1:32" x14ac:dyDescent="0.25">
      <c r="A116" s="22" t="s">
        <v>125</v>
      </c>
      <c r="B116" s="22" t="s">
        <v>126</v>
      </c>
      <c r="C116" s="22" t="s">
        <v>70</v>
      </c>
      <c r="D116" s="23">
        <v>0.25</v>
      </c>
      <c r="E116" s="24">
        <v>0</v>
      </c>
      <c r="F116" s="24">
        <v>40000</v>
      </c>
      <c r="G116" s="24">
        <v>5000</v>
      </c>
      <c r="H116" s="24">
        <v>2000</v>
      </c>
      <c r="I116" s="24">
        <v>8000</v>
      </c>
      <c r="J116" s="24">
        <f>(1-$D116)*E116</f>
        <v>0</v>
      </c>
      <c r="K116" s="24">
        <f>(1-$D116)*F116</f>
        <v>30000</v>
      </c>
      <c r="L116" s="24">
        <f>G116</f>
        <v>5000</v>
      </c>
      <c r="M116" s="24">
        <f>(1-$D116)*H116</f>
        <v>1500</v>
      </c>
      <c r="N116" s="24">
        <f>(1-$D116)*I116</f>
        <v>6000</v>
      </c>
      <c r="O116" s="24">
        <v>11880</v>
      </c>
      <c r="P116" s="24">
        <v>14330</v>
      </c>
      <c r="Q116" s="24">
        <v>0</v>
      </c>
      <c r="R116" s="24">
        <v>0</v>
      </c>
      <c r="S116" s="24">
        <v>0</v>
      </c>
      <c r="T116" s="24">
        <v>8000</v>
      </c>
      <c r="U116" s="24">
        <v>0</v>
      </c>
      <c r="V116" s="24">
        <v>0</v>
      </c>
      <c r="W116" s="24">
        <v>0</v>
      </c>
      <c r="X116" s="24">
        <v>0</v>
      </c>
      <c r="Y116" s="24">
        <v>2660</v>
      </c>
      <c r="Z116" s="24">
        <f>SUM(J116:Y116)</f>
        <v>79370</v>
      </c>
      <c r="AA116" s="24">
        <v>0</v>
      </c>
      <c r="AB116" s="20">
        <f>Z116-AA116</f>
        <v>79370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  <c r="AF116" s="25" t="s">
        <v>325</v>
      </c>
    </row>
    <row r="117" spans="1:32" x14ac:dyDescent="0.25">
      <c r="A117" s="22" t="s">
        <v>184</v>
      </c>
      <c r="B117" s="22" t="s">
        <v>189</v>
      </c>
      <c r="C117" s="22" t="s">
        <v>30</v>
      </c>
      <c r="D117" s="23">
        <v>0.25</v>
      </c>
      <c r="E117" s="24">
        <v>0</v>
      </c>
      <c r="F117" s="24">
        <v>26000</v>
      </c>
      <c r="G117" s="24">
        <v>4000</v>
      </c>
      <c r="H117" s="24">
        <v>1000</v>
      </c>
      <c r="I117" s="24">
        <v>0</v>
      </c>
      <c r="J117" s="24">
        <f>(1-$D117)*E117</f>
        <v>0</v>
      </c>
      <c r="K117" s="24">
        <f>(1-$D117)*F117</f>
        <v>19500</v>
      </c>
      <c r="L117" s="24">
        <f>G117</f>
        <v>4000</v>
      </c>
      <c r="M117" s="24">
        <f>(1-$D117)*H117</f>
        <v>750</v>
      </c>
      <c r="N117" s="24">
        <f>(1-$D117)*I117</f>
        <v>0</v>
      </c>
      <c r="O117" s="24">
        <v>12480</v>
      </c>
      <c r="P117" s="24">
        <v>7550</v>
      </c>
      <c r="Q117" s="24">
        <v>0</v>
      </c>
      <c r="R117" s="24">
        <v>0</v>
      </c>
      <c r="S117" s="24">
        <v>0</v>
      </c>
      <c r="T117" s="24">
        <v>6000</v>
      </c>
      <c r="U117" s="24">
        <v>0</v>
      </c>
      <c r="V117" s="24">
        <v>0</v>
      </c>
      <c r="W117" s="24">
        <v>0</v>
      </c>
      <c r="X117" s="24">
        <v>0</v>
      </c>
      <c r="Y117" s="24">
        <v>1250</v>
      </c>
      <c r="Z117" s="24">
        <f>SUM(J117:Y117)</f>
        <v>51530</v>
      </c>
      <c r="AA117" s="24">
        <v>10000</v>
      </c>
      <c r="AB117" s="20">
        <f>Z117-AA117</f>
        <v>41530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  <c r="AF117" s="25" t="s">
        <v>325</v>
      </c>
    </row>
    <row r="118" spans="1:32" x14ac:dyDescent="0.25">
      <c r="A118" s="22" t="s">
        <v>184</v>
      </c>
      <c r="B118" s="22" t="s">
        <v>185</v>
      </c>
      <c r="C118" s="22" t="s">
        <v>33</v>
      </c>
      <c r="D118" s="23">
        <v>0.25</v>
      </c>
      <c r="E118" s="24">
        <v>0</v>
      </c>
      <c r="F118" s="24">
        <v>28000</v>
      </c>
      <c r="G118" s="24">
        <v>4000</v>
      </c>
      <c r="H118" s="24">
        <v>2500</v>
      </c>
      <c r="I118" s="24">
        <v>5000</v>
      </c>
      <c r="J118" s="24">
        <f>(1-$D118)*E118</f>
        <v>0</v>
      </c>
      <c r="K118" s="24">
        <f>(1-$D118)*F118</f>
        <v>21000</v>
      </c>
      <c r="L118" s="24">
        <f>G118</f>
        <v>4000</v>
      </c>
      <c r="M118" s="24">
        <f>(1-$D118)*H118</f>
        <v>1875</v>
      </c>
      <c r="N118" s="24">
        <f>(1-$D118)*I118</f>
        <v>3750</v>
      </c>
      <c r="O118" s="24">
        <v>25970</v>
      </c>
      <c r="P118" s="24">
        <v>11330</v>
      </c>
      <c r="Q118" s="24">
        <v>0</v>
      </c>
      <c r="R118" s="24">
        <v>0</v>
      </c>
      <c r="S118" s="24">
        <v>0</v>
      </c>
      <c r="T118" s="24">
        <v>6000</v>
      </c>
      <c r="U118" s="24">
        <v>0</v>
      </c>
      <c r="V118" s="24">
        <v>0</v>
      </c>
      <c r="W118" s="24">
        <v>0</v>
      </c>
      <c r="X118" s="24">
        <v>0</v>
      </c>
      <c r="Y118" s="24">
        <v>9500</v>
      </c>
      <c r="Z118" s="24">
        <f>SUM(J118:Y118)</f>
        <v>83425</v>
      </c>
      <c r="AA118" s="24">
        <v>0</v>
      </c>
      <c r="AB118" s="20">
        <f>Z118-AA118</f>
        <v>83425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  <c r="AF118" s="25" t="s">
        <v>325</v>
      </c>
    </row>
    <row r="119" spans="1:32" x14ac:dyDescent="0.25">
      <c r="A119" s="22" t="s">
        <v>184</v>
      </c>
      <c r="B119" s="22" t="s">
        <v>186</v>
      </c>
      <c r="C119" s="22" t="s">
        <v>59</v>
      </c>
      <c r="D119" s="23">
        <v>0.25</v>
      </c>
      <c r="E119" s="24">
        <v>0</v>
      </c>
      <c r="F119" s="24">
        <v>28000</v>
      </c>
      <c r="G119" s="24">
        <v>4000</v>
      </c>
      <c r="H119" s="24">
        <v>0</v>
      </c>
      <c r="I119" s="24">
        <v>5000</v>
      </c>
      <c r="J119" s="24">
        <f>(1-$D119)*E119</f>
        <v>0</v>
      </c>
      <c r="K119" s="24">
        <f>(1-$D119)*F119</f>
        <v>21000</v>
      </c>
      <c r="L119" s="24">
        <f>G119</f>
        <v>4000</v>
      </c>
      <c r="M119" s="24">
        <f>(1-$D119)*H119</f>
        <v>0</v>
      </c>
      <c r="N119" s="24">
        <f>(1-$D119)*I119</f>
        <v>3750</v>
      </c>
      <c r="O119" s="24">
        <v>27330</v>
      </c>
      <c r="P119" s="24">
        <v>13230</v>
      </c>
      <c r="Q119" s="24">
        <v>0</v>
      </c>
      <c r="R119" s="24">
        <v>0</v>
      </c>
      <c r="S119" s="24">
        <v>0</v>
      </c>
      <c r="T119" s="24">
        <v>6000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>SUM(J119:Y119)</f>
        <v>75310</v>
      </c>
      <c r="AA119" s="24">
        <v>0</v>
      </c>
      <c r="AB119" s="20">
        <f>Z119-AA119</f>
        <v>75310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  <c r="AF119" s="25" t="s">
        <v>325</v>
      </c>
    </row>
    <row r="120" spans="1:32" x14ac:dyDescent="0.25">
      <c r="A120" s="22" t="s">
        <v>220</v>
      </c>
      <c r="B120" s="22" t="s">
        <v>221</v>
      </c>
      <c r="C120" s="22" t="s">
        <v>49</v>
      </c>
      <c r="D120" s="23">
        <v>0</v>
      </c>
      <c r="E120" s="24">
        <v>0</v>
      </c>
      <c r="F120" s="24">
        <v>26000</v>
      </c>
      <c r="G120" s="24">
        <v>4000</v>
      </c>
      <c r="H120" s="24">
        <v>1000</v>
      </c>
      <c r="I120" s="24">
        <v>0</v>
      </c>
      <c r="J120" s="24">
        <f>(1-$D120)*E120</f>
        <v>0</v>
      </c>
      <c r="K120" s="24">
        <f>(1-$D120)*F120</f>
        <v>26000</v>
      </c>
      <c r="L120" s="24">
        <f>G120</f>
        <v>4000</v>
      </c>
      <c r="M120" s="24">
        <f>(1-$D120)*H120</f>
        <v>1000</v>
      </c>
      <c r="N120" s="24">
        <f>(1-$D120)*I120</f>
        <v>0</v>
      </c>
      <c r="O120" s="24">
        <v>6840</v>
      </c>
      <c r="P120" s="24">
        <v>5300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1000</v>
      </c>
      <c r="Z120" s="24">
        <f>SUM(J120:Y120)</f>
        <v>44140</v>
      </c>
      <c r="AA120" s="24">
        <v>0</v>
      </c>
      <c r="AB120" s="20">
        <f>Z120-AA120</f>
        <v>44140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  <c r="AF120" s="25" t="s">
        <v>325</v>
      </c>
    </row>
    <row r="121" spans="1:32" x14ac:dyDescent="0.25">
      <c r="A121" s="22" t="s">
        <v>130</v>
      </c>
      <c r="B121" s="22" t="s">
        <v>131</v>
      </c>
      <c r="C121" s="22" t="s">
        <v>67</v>
      </c>
      <c r="D121" s="23">
        <v>0.3</v>
      </c>
      <c r="E121" s="24">
        <v>0</v>
      </c>
      <c r="F121" s="24">
        <v>33000</v>
      </c>
      <c r="G121" s="24">
        <v>5000</v>
      </c>
      <c r="H121" s="24">
        <v>2000</v>
      </c>
      <c r="I121" s="24">
        <v>6000</v>
      </c>
      <c r="J121" s="24">
        <f>(1-$D121)*E121</f>
        <v>0</v>
      </c>
      <c r="K121" s="24">
        <f>(1-$D121)*F121</f>
        <v>23100</v>
      </c>
      <c r="L121" s="24">
        <f>G121</f>
        <v>5000</v>
      </c>
      <c r="M121" s="24">
        <f>(1-$D121)*H121</f>
        <v>1400</v>
      </c>
      <c r="N121" s="24">
        <f>(1-$D121)*I121</f>
        <v>4200</v>
      </c>
      <c r="O121" s="24">
        <v>22400</v>
      </c>
      <c r="P121" s="24">
        <v>14330</v>
      </c>
      <c r="Q121" s="24">
        <v>0</v>
      </c>
      <c r="R121" s="24">
        <v>0</v>
      </c>
      <c r="S121" s="24">
        <v>0</v>
      </c>
      <c r="T121" s="24">
        <v>8000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>SUM(J121:Y121)</f>
        <v>78430</v>
      </c>
      <c r="AA121" s="24">
        <v>0</v>
      </c>
      <c r="AB121" s="20">
        <f>Z121-AA121</f>
        <v>78430</v>
      </c>
      <c r="AC121" s="24" t="str">
        <f>IF(AND($T121=6000, ($T121+$W121-$AB121)&gt;=6000),T121,"")</f>
        <v/>
      </c>
      <c r="AD121" s="24" t="str">
        <f>IF(AND($T121=8000, ($T121+$W121-$AB121)&gt;=8000),T121,"")</f>
        <v/>
      </c>
      <c r="AE121" s="24" t="str">
        <f>IF(($T121+$W121-$AB121)&gt;=$T121+8000,W121,"")</f>
        <v/>
      </c>
      <c r="AF121" s="25" t="s">
        <v>325</v>
      </c>
    </row>
    <row r="122" spans="1:32" x14ac:dyDescent="0.25">
      <c r="A122" s="22" t="s">
        <v>130</v>
      </c>
      <c r="B122" s="22" t="s">
        <v>132</v>
      </c>
      <c r="C122" s="22" t="s">
        <v>70</v>
      </c>
      <c r="D122" s="23">
        <v>0.25</v>
      </c>
      <c r="E122" s="24">
        <v>0</v>
      </c>
      <c r="F122" s="24">
        <v>40000</v>
      </c>
      <c r="G122" s="24">
        <v>5000</v>
      </c>
      <c r="H122" s="24">
        <v>2000</v>
      </c>
      <c r="I122" s="24">
        <v>8000</v>
      </c>
      <c r="J122" s="24">
        <f>(1-$D122)*E122</f>
        <v>0</v>
      </c>
      <c r="K122" s="24">
        <f>(1-$D122)*F122</f>
        <v>30000</v>
      </c>
      <c r="L122" s="24">
        <f>G122</f>
        <v>5000</v>
      </c>
      <c r="M122" s="24">
        <f>(1-$D122)*H122</f>
        <v>1500</v>
      </c>
      <c r="N122" s="24">
        <f>(1-$D122)*I122</f>
        <v>6000</v>
      </c>
      <c r="O122" s="24">
        <v>11880</v>
      </c>
      <c r="P122" s="24">
        <v>14330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>SUM(J122:Y122)</f>
        <v>68710</v>
      </c>
      <c r="AA122" s="24">
        <v>0</v>
      </c>
      <c r="AB122" s="20">
        <f>Z122-AA122</f>
        <v>68710</v>
      </c>
      <c r="AC122" s="24" t="str">
        <f>IF(AND($T122=6000, ($T122+$W122-$AB122)&gt;=6000),T122,"")</f>
        <v/>
      </c>
      <c r="AD122" s="24" t="str">
        <f>IF(AND($T122=8000, ($T122+$W122-$AB122)&gt;=8000),T122,"")</f>
        <v/>
      </c>
      <c r="AE122" s="24" t="str">
        <f>IF(($T122+$W122-$AB122)&gt;=$T122+8000,W122,"")</f>
        <v/>
      </c>
      <c r="AF122" s="25" t="s">
        <v>325</v>
      </c>
    </row>
    <row r="123" spans="1:32" x14ac:dyDescent="0.25">
      <c r="A123" s="22" t="s">
        <v>133</v>
      </c>
      <c r="B123" s="22" t="s">
        <v>134</v>
      </c>
      <c r="C123" s="22" t="s">
        <v>48</v>
      </c>
      <c r="D123" s="23">
        <v>0</v>
      </c>
      <c r="E123" s="24">
        <v>0</v>
      </c>
      <c r="F123" s="24">
        <v>28000</v>
      </c>
      <c r="G123" s="24">
        <v>4000</v>
      </c>
      <c r="H123" s="24">
        <v>0</v>
      </c>
      <c r="I123" s="24">
        <v>5000</v>
      </c>
      <c r="J123" s="24">
        <f>(1-$D123)*E123</f>
        <v>0</v>
      </c>
      <c r="K123" s="24">
        <f>(1-$D123)*F123</f>
        <v>28000</v>
      </c>
      <c r="L123" s="24">
        <f>G123</f>
        <v>4000</v>
      </c>
      <c r="M123" s="24">
        <f>(1-$D123)*H123</f>
        <v>0</v>
      </c>
      <c r="N123" s="24">
        <f>(1-$D123)*I123</f>
        <v>5000</v>
      </c>
      <c r="O123" s="24">
        <v>26150</v>
      </c>
      <c r="P123" s="24">
        <v>11330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4020</v>
      </c>
      <c r="Z123" s="24">
        <f>SUM(J123:Y123)</f>
        <v>78500</v>
      </c>
      <c r="AA123" s="24">
        <v>0</v>
      </c>
      <c r="AB123" s="20">
        <f>Z123-AA123</f>
        <v>78500</v>
      </c>
      <c r="AC123" s="24" t="str">
        <f>IF(AND($T123=6000, ($T123+$W123-$AB123)&gt;=6000),T123,"")</f>
        <v/>
      </c>
      <c r="AD123" s="24" t="str">
        <f>IF(AND($T123=8000, ($T123+$W123-$AB123)&gt;=8000),T123,"")</f>
        <v/>
      </c>
      <c r="AE123" s="24" t="str">
        <f>IF(($T123+$W123-$AB123)&gt;=$T123+8000,W123,"")</f>
        <v/>
      </c>
      <c r="AF123" s="25" t="s">
        <v>325</v>
      </c>
    </row>
    <row r="124" spans="1:32" x14ac:dyDescent="0.25">
      <c r="A124" s="22" t="s">
        <v>135</v>
      </c>
      <c r="B124" s="22" t="s">
        <v>218</v>
      </c>
      <c r="C124" s="22" t="s">
        <v>49</v>
      </c>
      <c r="D124" s="23">
        <v>0.25</v>
      </c>
      <c r="E124" s="24">
        <v>0</v>
      </c>
      <c r="F124" s="24">
        <v>26000</v>
      </c>
      <c r="G124" s="24">
        <v>4000</v>
      </c>
      <c r="H124" s="24">
        <v>1000</v>
      </c>
      <c r="I124" s="24">
        <v>0</v>
      </c>
      <c r="J124" s="24">
        <f>(1-$D124)*E124</f>
        <v>0</v>
      </c>
      <c r="K124" s="24">
        <f>(1-$D124)*F124</f>
        <v>19500</v>
      </c>
      <c r="L124" s="24">
        <f>G124</f>
        <v>4000</v>
      </c>
      <c r="M124" s="24">
        <f>(1-$D124)*H124</f>
        <v>750</v>
      </c>
      <c r="N124" s="24">
        <f>(1-$D124)*I124</f>
        <v>0</v>
      </c>
      <c r="O124" s="24">
        <v>6840</v>
      </c>
      <c r="P124" s="24">
        <v>5300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f>SUM(J124:Y124)</f>
        <v>36390</v>
      </c>
      <c r="AA124" s="24">
        <v>7070</v>
      </c>
      <c r="AB124" s="20">
        <f>Z124-AA124</f>
        <v>29320</v>
      </c>
      <c r="AC124" s="24" t="str">
        <f>IF(AND($T124=6000, ($T124+$W124-$AB124)&gt;=6000),T124,"")</f>
        <v/>
      </c>
      <c r="AD124" s="24" t="str">
        <f>IF(AND($T124=8000, ($T124+$W124-$AB124)&gt;=8000),T124,"")</f>
        <v/>
      </c>
      <c r="AE124" s="24" t="str">
        <f>IF(($T124+$W124-$AB124)&gt;=$T124+8000,W124,"")</f>
        <v/>
      </c>
      <c r="AF124" s="25" t="s">
        <v>325</v>
      </c>
    </row>
    <row r="125" spans="1:32" x14ac:dyDescent="0.25">
      <c r="A125" s="22" t="s">
        <v>135</v>
      </c>
      <c r="B125" s="22" t="s">
        <v>136</v>
      </c>
      <c r="C125" s="22" t="s">
        <v>30</v>
      </c>
      <c r="D125" s="23">
        <v>0.3</v>
      </c>
      <c r="E125" s="24">
        <v>0</v>
      </c>
      <c r="F125" s="24">
        <v>26000</v>
      </c>
      <c r="G125" s="24">
        <v>4000</v>
      </c>
      <c r="H125" s="24">
        <v>1000</v>
      </c>
      <c r="I125" s="24">
        <v>0</v>
      </c>
      <c r="J125" s="24">
        <f>(1-$D125)*E125</f>
        <v>0</v>
      </c>
      <c r="K125" s="24">
        <f>(1-$D125)*F125</f>
        <v>18200</v>
      </c>
      <c r="L125" s="24">
        <f>G125</f>
        <v>4000</v>
      </c>
      <c r="M125" s="24">
        <f>(1-$D125)*H125</f>
        <v>700</v>
      </c>
      <c r="N125" s="24">
        <f>(1-$D125)*I125</f>
        <v>0</v>
      </c>
      <c r="O125" s="24">
        <v>12480</v>
      </c>
      <c r="P125" s="24">
        <v>7550</v>
      </c>
      <c r="Q125" s="24">
        <v>0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24">
        <f>SUM(J125:Y125)</f>
        <v>42930</v>
      </c>
      <c r="AA125" s="24">
        <v>42930</v>
      </c>
      <c r="AB125" s="20">
        <f>Z125-AA125</f>
        <v>0</v>
      </c>
      <c r="AC125" s="24" t="str">
        <f>IF(AND($T125=6000, ($T125+$W125-$AB125)&gt;=6000),T125,"")</f>
        <v/>
      </c>
      <c r="AD125" s="24" t="str">
        <f>IF(AND($T125=8000, ($T125+$W125-$AB125)&gt;=8000),T125,"")</f>
        <v/>
      </c>
      <c r="AE125" s="24" t="str">
        <f>IF(($T125+$W125-$AB125)&gt;=$T125+8000,W125,"")</f>
        <v/>
      </c>
      <c r="AF125" s="25" t="s">
        <v>326</v>
      </c>
    </row>
    <row r="126" spans="1:32" x14ac:dyDescent="0.25">
      <c r="A126" s="22" t="s">
        <v>137</v>
      </c>
      <c r="B126" s="22" t="s">
        <v>138</v>
      </c>
      <c r="C126" s="22" t="s">
        <v>44</v>
      </c>
      <c r="D126" s="23">
        <v>0</v>
      </c>
      <c r="E126" s="24">
        <v>0</v>
      </c>
      <c r="F126" s="24">
        <v>26000</v>
      </c>
      <c r="G126" s="24">
        <v>4000</v>
      </c>
      <c r="H126" s="24">
        <v>0</v>
      </c>
      <c r="I126" s="24">
        <v>0</v>
      </c>
      <c r="J126" s="24">
        <f>(1-$D126)*E126</f>
        <v>0</v>
      </c>
      <c r="K126" s="24">
        <f>(1-$D126)*F126</f>
        <v>26000</v>
      </c>
      <c r="L126" s="24">
        <f>G126</f>
        <v>4000</v>
      </c>
      <c r="M126" s="24">
        <f>(1-$D126)*H126</f>
        <v>0</v>
      </c>
      <c r="N126" s="24">
        <f>(1-$D126)*I126</f>
        <v>0</v>
      </c>
      <c r="O126" s="24">
        <v>13380</v>
      </c>
      <c r="P126" s="24">
        <v>7550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f>SUM(J126:Y126)</f>
        <v>50930</v>
      </c>
      <c r="AA126" s="24">
        <v>0</v>
      </c>
      <c r="AB126" s="20">
        <f>Z126-AA126</f>
        <v>50930</v>
      </c>
      <c r="AC126" s="24" t="str">
        <f>IF(AND($T126=6000, ($T126+$W126-$AB126)&gt;=6000),T126,"")</f>
        <v/>
      </c>
      <c r="AD126" s="24" t="str">
        <f>IF(AND($T126=8000, ($T126+$W126-$AB126)&gt;=8000),T126,"")</f>
        <v/>
      </c>
      <c r="AE126" s="24" t="str">
        <f>IF(($T126+$W126-$AB126)&gt;=$T126+8000,W126,"")</f>
        <v/>
      </c>
      <c r="AF126" s="25" t="s">
        <v>325</v>
      </c>
    </row>
    <row r="127" spans="1:32" x14ac:dyDescent="0.25">
      <c r="A127" s="26"/>
      <c r="B127" s="26"/>
      <c r="C127" s="26"/>
      <c r="D127" s="27"/>
      <c r="E127" s="28"/>
      <c r="F127" s="28"/>
      <c r="G127" s="28"/>
      <c r="H127" s="28"/>
      <c r="I127" s="28"/>
      <c r="J127" s="28"/>
      <c r="K127" s="28"/>
      <c r="L127" s="28"/>
      <c r="M127" s="28"/>
      <c r="N127" s="28">
        <f>SUM(N2:N126)</f>
        <v>273250</v>
      </c>
      <c r="O127" s="28">
        <f>SUM(O2:O126)</f>
        <v>2181870</v>
      </c>
      <c r="P127" s="28">
        <f>SUM(P2:P126)</f>
        <v>1270120</v>
      </c>
      <c r="Q127" s="28">
        <f>SUM(Q2:Q126)</f>
        <v>172000</v>
      </c>
      <c r="R127" s="28">
        <f>SUM(R2:R126)</f>
        <v>56000</v>
      </c>
      <c r="S127" s="28">
        <f>SUM(S2:S126)</f>
        <v>46000</v>
      </c>
      <c r="T127" s="28">
        <f>SUM(T2:T126)</f>
        <v>264000</v>
      </c>
      <c r="U127" s="28">
        <f>SUM(U2:U126)</f>
        <v>0</v>
      </c>
      <c r="V127" s="28">
        <f>SUM(V2:V126)</f>
        <v>0</v>
      </c>
      <c r="W127" s="28">
        <f>SUM(W2:W126)</f>
        <v>0</v>
      </c>
      <c r="X127" s="28">
        <f>SUM(X2:X126)</f>
        <v>0</v>
      </c>
      <c r="Y127" s="28">
        <f>SUM(Y2:Y126)</f>
        <v>188670</v>
      </c>
      <c r="Z127" s="28">
        <f>SUM(Z2:Z126)</f>
        <v>7844460</v>
      </c>
      <c r="AA127" s="28">
        <f>SUM(AA2:AA126)</f>
        <v>1905285</v>
      </c>
      <c r="AB127" s="28">
        <f>SUM(AB2:AB126)</f>
        <v>5939175</v>
      </c>
      <c r="AC127" s="28">
        <f>SUM(AC2:AC126)</f>
        <v>18000</v>
      </c>
      <c r="AD127" s="28">
        <f>SUM(AD2:AD126)</f>
        <v>0</v>
      </c>
      <c r="AE127" s="28">
        <f>SUM(AE2:AE126)</f>
        <v>0</v>
      </c>
      <c r="AF127" s="25" t="s">
        <v>325</v>
      </c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2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2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4"/>
      <c r="AC269" s="33"/>
      <c r="AD269" s="33"/>
    </row>
    <row r="270" spans="1:30" x14ac:dyDescent="0.25">
      <c r="A270" s="29"/>
      <c r="B270" s="29"/>
      <c r="C270" s="29"/>
      <c r="D270" s="30"/>
      <c r="E270" s="31"/>
      <c r="F270" s="31"/>
      <c r="G270" s="31"/>
      <c r="H270" s="31"/>
      <c r="I270" s="31"/>
      <c r="J270" s="31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34"/>
      <c r="AC270" s="33"/>
      <c r="AD270" s="33"/>
    </row>
    <row r="271" spans="1:30" x14ac:dyDescent="0.25">
      <c r="A271" s="29"/>
      <c r="B271" s="29"/>
      <c r="C271" s="29"/>
      <c r="D271" s="30"/>
      <c r="E271" s="31"/>
      <c r="F271" s="31"/>
      <c r="G271" s="31"/>
      <c r="H271" s="31"/>
      <c r="I271" s="31"/>
      <c r="J271" s="31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B979" s="35"/>
      <c r="AC979" s="33"/>
      <c r="AD979" s="33"/>
    </row>
    <row r="980" spans="28:30" x14ac:dyDescent="0.25">
      <c r="AB980" s="35"/>
      <c r="AC980" s="33"/>
      <c r="AD980" s="33"/>
    </row>
    <row r="981" spans="28:30" x14ac:dyDescent="0.25">
      <c r="AB981" s="35"/>
      <c r="AC981" s="33"/>
      <c r="AD981" s="33"/>
    </row>
    <row r="982" spans="28:30" x14ac:dyDescent="0.25">
      <c r="AB982" s="35"/>
      <c r="AC982" s="33"/>
      <c r="AD982" s="33"/>
    </row>
    <row r="983" spans="28:30" x14ac:dyDescent="0.25">
      <c r="AB983" s="35"/>
      <c r="AC983" s="33"/>
      <c r="AD983" s="33"/>
    </row>
    <row r="984" spans="28:30" x14ac:dyDescent="0.25">
      <c r="AB984" s="35"/>
      <c r="AC984" s="33"/>
      <c r="AD984" s="33"/>
    </row>
    <row r="985" spans="28:30" x14ac:dyDescent="0.25">
      <c r="AC985" s="33"/>
      <c r="AD985" s="33"/>
    </row>
  </sheetData>
  <sortState xmlns:xlrd2="http://schemas.microsoft.com/office/spreadsheetml/2017/richdata2" ref="A2:AF127">
    <sortCondition ref="A2:A127"/>
  </sortState>
  <phoneticPr fontId="3" type="noConversion"/>
  <conditionalFormatting sqref="AC1:AF1 AB1:AB126 E127:AE127 AB128:AB984">
    <cfRule type="cellIs" dxfId="0" priority="1" operator="lessThan">
      <formula>0</formula>
    </cfRule>
  </conditionalFormatting>
  <dataValidations count="1">
    <dataValidation type="custom" allowBlank="1" showDropDown="1" sqref="Y91:Y92 J49:M57 J40:N48 Y95:Y107 Y69:Y88 N49:N107 K58:K107 Y2:Z68 D20:D98 E20:H114 D115:N126 Z69:Z113 J58:J113 L58:M113 D114 Y114:Z126 I40:I113 I114:N114 AA2:AB126 O2:X126 D2:H19 I2:N39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32" activePane="bottomRight" state="frozen"/>
      <selection activeCell="B16" sqref="B16"/>
      <selection pane="topRight" activeCell="B16" sqref="B16"/>
      <selection pane="bottomLeft" activeCell="B16" sqref="B16"/>
      <selection pane="bottomRight" activeCell="E43" sqref="E43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69.7109375" style="7" bestFit="1" customWidth="1"/>
    <col min="4" max="4" width="18.5703125" style="9" bestFit="1" customWidth="1"/>
    <col min="5" max="5" width="41.2851562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SUMIF(E1:E1000, "&lt;&gt;", D1:D1000)</f>
        <v>1905285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46278</v>
      </c>
      <c r="B2" s="7" t="s">
        <v>250</v>
      </c>
      <c r="C2" s="7" t="s">
        <v>300</v>
      </c>
      <c r="D2" s="9">
        <v>60000</v>
      </c>
      <c r="E2" s="7" t="s">
        <v>304</v>
      </c>
    </row>
    <row r="3" spans="1:24" x14ac:dyDescent="0.25">
      <c r="A3" s="8">
        <v>46277</v>
      </c>
      <c r="B3" s="7" t="s">
        <v>250</v>
      </c>
      <c r="C3" s="7" t="s">
        <v>295</v>
      </c>
      <c r="D3" s="9">
        <v>30000</v>
      </c>
      <c r="E3" s="7" t="s">
        <v>296</v>
      </c>
    </row>
    <row r="4" spans="1:24" x14ac:dyDescent="0.25">
      <c r="A4" s="8">
        <v>46265</v>
      </c>
      <c r="B4" s="7" t="s">
        <v>250</v>
      </c>
      <c r="C4" s="7" t="s">
        <v>259</v>
      </c>
      <c r="D4" s="9">
        <v>60000</v>
      </c>
      <c r="E4" s="7" t="s">
        <v>261</v>
      </c>
    </row>
    <row r="5" spans="1:24" x14ac:dyDescent="0.25">
      <c r="A5" s="8">
        <v>46268</v>
      </c>
      <c r="B5" s="7" t="s">
        <v>250</v>
      </c>
      <c r="C5" s="7" t="s">
        <v>265</v>
      </c>
      <c r="D5" s="9">
        <v>42140</v>
      </c>
      <c r="E5" s="7" t="s">
        <v>266</v>
      </c>
      <c r="H5" s="9"/>
    </row>
    <row r="6" spans="1:24" x14ac:dyDescent="0.25">
      <c r="A6" s="8">
        <v>46280</v>
      </c>
      <c r="B6" s="7" t="s">
        <v>250</v>
      </c>
      <c r="C6" s="7" t="s">
        <v>337</v>
      </c>
      <c r="D6" s="9">
        <v>80000</v>
      </c>
      <c r="E6" s="7" t="s">
        <v>338</v>
      </c>
      <c r="F6" s="11"/>
    </row>
    <row r="7" spans="1:24" x14ac:dyDescent="0.25">
      <c r="A7" s="8">
        <v>46280</v>
      </c>
      <c r="B7" s="7" t="s">
        <v>250</v>
      </c>
      <c r="C7" s="7" t="s">
        <v>318</v>
      </c>
      <c r="D7" s="9">
        <v>120210</v>
      </c>
      <c r="E7" s="7" t="s">
        <v>336</v>
      </c>
    </row>
    <row r="8" spans="1:24" x14ac:dyDescent="0.25">
      <c r="A8" s="8">
        <v>46255</v>
      </c>
      <c r="B8" s="7" t="s">
        <v>250</v>
      </c>
      <c r="C8" s="7" t="s">
        <v>253</v>
      </c>
      <c r="D8" s="9">
        <v>43000</v>
      </c>
      <c r="E8" s="7" t="s">
        <v>254</v>
      </c>
    </row>
    <row r="9" spans="1:24" x14ac:dyDescent="0.25">
      <c r="A9" s="8">
        <v>46262</v>
      </c>
      <c r="B9" s="7" t="s">
        <v>250</v>
      </c>
      <c r="C9" s="7" t="s">
        <v>253</v>
      </c>
      <c r="D9" s="9">
        <v>33000</v>
      </c>
      <c r="E9" s="7" t="s">
        <v>254</v>
      </c>
    </row>
    <row r="10" spans="1:24" x14ac:dyDescent="0.25">
      <c r="A10" s="8">
        <v>46262</v>
      </c>
      <c r="B10" s="7" t="s">
        <v>250</v>
      </c>
      <c r="C10" s="7" t="s">
        <v>253</v>
      </c>
      <c r="D10" s="9">
        <v>615</v>
      </c>
      <c r="E10" s="7" t="s">
        <v>254</v>
      </c>
    </row>
    <row r="11" spans="1:24" x14ac:dyDescent="0.25">
      <c r="A11" s="8">
        <v>46263</v>
      </c>
      <c r="B11" s="7" t="s">
        <v>250</v>
      </c>
      <c r="C11" s="7" t="s">
        <v>253</v>
      </c>
      <c r="D11" s="9">
        <v>18000</v>
      </c>
      <c r="E11" s="7" t="s">
        <v>254</v>
      </c>
    </row>
    <row r="12" spans="1:24" x14ac:dyDescent="0.25">
      <c r="A12" s="8">
        <v>46278</v>
      </c>
      <c r="B12" s="7" t="s">
        <v>250</v>
      </c>
      <c r="C12" s="7" t="s">
        <v>305</v>
      </c>
      <c r="D12" s="9">
        <v>30000</v>
      </c>
      <c r="E12" s="7" t="s">
        <v>254</v>
      </c>
    </row>
    <row r="13" spans="1:24" s="8" customFormat="1" x14ac:dyDescent="0.25">
      <c r="A13" s="8">
        <v>46279</v>
      </c>
      <c r="B13" s="7" t="s">
        <v>250</v>
      </c>
      <c r="C13" s="7" t="s">
        <v>305</v>
      </c>
      <c r="D13" s="9">
        <v>8000</v>
      </c>
      <c r="E13" s="7" t="s">
        <v>254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46280</v>
      </c>
      <c r="B14" s="7" t="s">
        <v>250</v>
      </c>
      <c r="C14" s="7" t="s">
        <v>305</v>
      </c>
      <c r="D14" s="9">
        <v>20000</v>
      </c>
      <c r="E14" s="7" t="s">
        <v>254</v>
      </c>
      <c r="F14" s="11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46278</v>
      </c>
      <c r="B15" s="7" t="s">
        <v>270</v>
      </c>
      <c r="C15" s="7" t="s">
        <v>301</v>
      </c>
      <c r="D15" s="9">
        <v>62230</v>
      </c>
      <c r="E15" s="7" t="s">
        <v>303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8">
        <v>46271</v>
      </c>
      <c r="B16" s="7" t="s">
        <v>250</v>
      </c>
      <c r="C16" s="7" t="s">
        <v>267</v>
      </c>
      <c r="D16" s="9">
        <v>60000</v>
      </c>
      <c r="E16" s="7" t="s">
        <v>268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46280</v>
      </c>
      <c r="B17" s="7" t="s">
        <v>250</v>
      </c>
      <c r="C17" s="7" t="s">
        <v>321</v>
      </c>
      <c r="D17" s="9">
        <v>40000</v>
      </c>
      <c r="E17" s="7" t="s">
        <v>327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46278</v>
      </c>
      <c r="B18" s="7" t="s">
        <v>270</v>
      </c>
      <c r="C18" s="7" t="s">
        <v>306</v>
      </c>
      <c r="D18" s="9">
        <v>43140</v>
      </c>
      <c r="E18" s="7" t="s">
        <v>307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46280</v>
      </c>
      <c r="B19" s="7" t="s">
        <v>250</v>
      </c>
      <c r="C19" s="7" t="s">
        <v>319</v>
      </c>
      <c r="D19" s="9">
        <v>60000</v>
      </c>
      <c r="E19" s="7" t="s">
        <v>333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8">
        <v>46265</v>
      </c>
      <c r="B20" s="7" t="s">
        <v>250</v>
      </c>
      <c r="C20" s="7" t="s">
        <v>260</v>
      </c>
      <c r="D20" s="9">
        <v>50430</v>
      </c>
      <c r="E20" s="7" t="s">
        <v>262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46276</v>
      </c>
      <c r="B21" s="7" t="s">
        <v>250</v>
      </c>
      <c r="C21" s="7" t="s">
        <v>291</v>
      </c>
      <c r="D21" s="9">
        <v>28000</v>
      </c>
      <c r="E21" s="7" t="s">
        <v>298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46278</v>
      </c>
      <c r="B22" s="7" t="s">
        <v>250</v>
      </c>
      <c r="C22" s="7" t="s">
        <v>299</v>
      </c>
      <c r="D22" s="9">
        <v>50000</v>
      </c>
      <c r="E22" s="7" t="s">
        <v>302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46270</v>
      </c>
      <c r="B23" s="7" t="s">
        <v>270</v>
      </c>
      <c r="C23" s="7" t="s">
        <v>269</v>
      </c>
      <c r="D23" s="9">
        <v>79020</v>
      </c>
      <c r="E23" s="7" t="s">
        <v>275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46238</v>
      </c>
      <c r="B24" s="7" t="s">
        <v>250</v>
      </c>
      <c r="C24" s="7" t="s">
        <v>249</v>
      </c>
      <c r="D24" s="9">
        <v>48000</v>
      </c>
      <c r="E24" s="7" t="s">
        <v>251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46270</v>
      </c>
      <c r="B25" s="7" t="s">
        <v>270</v>
      </c>
      <c r="C25" s="7" t="s">
        <v>271</v>
      </c>
      <c r="D25" s="9">
        <v>42350</v>
      </c>
      <c r="E25" s="7" t="s">
        <v>274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46280</v>
      </c>
      <c r="B26" s="7" t="s">
        <v>250</v>
      </c>
      <c r="C26" s="11" t="s">
        <v>323</v>
      </c>
      <c r="D26" s="12">
        <v>40000</v>
      </c>
      <c r="E26" s="11" t="s">
        <v>328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46273</v>
      </c>
      <c r="B27" s="7" t="s">
        <v>250</v>
      </c>
      <c r="C27" s="7" t="s">
        <v>277</v>
      </c>
      <c r="D27" s="9">
        <v>33000</v>
      </c>
      <c r="E27" s="7" t="s">
        <v>282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46273</v>
      </c>
      <c r="B28" s="7" t="s">
        <v>270</v>
      </c>
      <c r="C28" s="7" t="s">
        <v>278</v>
      </c>
      <c r="D28" s="9">
        <v>6840</v>
      </c>
      <c r="E28" s="7" t="s">
        <v>282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46273</v>
      </c>
      <c r="B29" s="7" t="s">
        <v>270</v>
      </c>
      <c r="C29" s="7" t="s">
        <v>279</v>
      </c>
      <c r="D29" s="9">
        <v>200000</v>
      </c>
      <c r="E29" s="7" t="s">
        <v>281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46264</v>
      </c>
      <c r="B30" s="7" t="s">
        <v>250</v>
      </c>
      <c r="C30" s="7" t="s">
        <v>256</v>
      </c>
      <c r="D30" s="9">
        <v>51930</v>
      </c>
      <c r="E30" s="7" t="s">
        <v>257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46279</v>
      </c>
      <c r="B31" s="7" t="s">
        <v>270</v>
      </c>
      <c r="C31" s="7" t="s">
        <v>312</v>
      </c>
      <c r="D31" s="9">
        <v>25000</v>
      </c>
      <c r="E31" s="7" t="s">
        <v>313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A32" s="10">
        <v>46271</v>
      </c>
      <c r="B32" s="11" t="s">
        <v>250</v>
      </c>
      <c r="C32" s="11" t="s">
        <v>276</v>
      </c>
      <c r="D32" s="12">
        <v>20000</v>
      </c>
      <c r="E32" s="11" t="s">
        <v>283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A33" s="8">
        <v>46278</v>
      </c>
      <c r="B33" s="7" t="s">
        <v>250</v>
      </c>
      <c r="C33" s="7" t="s">
        <v>276</v>
      </c>
      <c r="D33" s="9">
        <v>9640</v>
      </c>
      <c r="E33" s="7" t="s">
        <v>283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A34" s="8">
        <v>46277</v>
      </c>
      <c r="B34" s="7" t="s">
        <v>250</v>
      </c>
      <c r="C34" s="7" t="s">
        <v>292</v>
      </c>
      <c r="D34" s="9">
        <v>95000</v>
      </c>
      <c r="E34" s="7" t="s">
        <v>293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A35" s="8">
        <v>46280</v>
      </c>
      <c r="B35" s="7" t="s">
        <v>250</v>
      </c>
      <c r="C35" s="7" t="s">
        <v>322</v>
      </c>
      <c r="D35" s="9">
        <v>27900</v>
      </c>
      <c r="E35" s="7" t="s">
        <v>324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A36" s="8">
        <v>46275</v>
      </c>
      <c r="B36" s="7" t="s">
        <v>250</v>
      </c>
      <c r="C36" s="7" t="s">
        <v>286</v>
      </c>
      <c r="D36" s="9">
        <v>24700</v>
      </c>
      <c r="E36" s="7" t="s">
        <v>287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A37" s="8">
        <v>46279</v>
      </c>
      <c r="B37" s="7" t="s">
        <v>250</v>
      </c>
      <c r="C37" s="7" t="s">
        <v>286</v>
      </c>
      <c r="D37" s="9">
        <v>20000</v>
      </c>
      <c r="E37" s="7" t="s">
        <v>287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A38" s="10">
        <v>46275</v>
      </c>
      <c r="B38" s="11" t="s">
        <v>250</v>
      </c>
      <c r="C38" s="11" t="s">
        <v>285</v>
      </c>
      <c r="D38" s="12">
        <v>33140</v>
      </c>
      <c r="E38" s="11" t="s">
        <v>284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A39" s="8">
        <v>46270</v>
      </c>
      <c r="B39" s="7" t="s">
        <v>270</v>
      </c>
      <c r="C39" s="7" t="s">
        <v>272</v>
      </c>
      <c r="D39" s="9">
        <v>50000</v>
      </c>
      <c r="E39" s="7" t="s">
        <v>273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A40" s="8">
        <v>46280</v>
      </c>
      <c r="B40" s="7" t="s">
        <v>250</v>
      </c>
      <c r="C40" s="7" t="s">
        <v>315</v>
      </c>
      <c r="D40" s="9">
        <v>100000</v>
      </c>
      <c r="E40" s="7" t="s">
        <v>329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8">
        <v>46277</v>
      </c>
      <c r="B41" s="7" t="s">
        <v>250</v>
      </c>
      <c r="C41" s="7" t="s">
        <v>294</v>
      </c>
      <c r="D41" s="9">
        <v>10000</v>
      </c>
      <c r="E41" s="7" t="s">
        <v>297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A42" s="8">
        <v>46266</v>
      </c>
      <c r="B42" s="7" t="s">
        <v>250</v>
      </c>
      <c r="C42" s="7" t="s">
        <v>263</v>
      </c>
      <c r="D42" s="9">
        <v>50000</v>
      </c>
      <c r="E42" s="7" t="s">
        <v>264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A43" s="8">
        <v>46279</v>
      </c>
      <c r="B43" s="7" t="s">
        <v>250</v>
      </c>
      <c r="C43" s="7" t="s">
        <v>308</v>
      </c>
      <c r="D43" s="9">
        <v>116000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A44" s="8">
        <v>46279</v>
      </c>
      <c r="B44" s="7" t="s">
        <v>250</v>
      </c>
      <c r="C44" s="7" t="s">
        <v>309</v>
      </c>
      <c r="D44" s="9">
        <v>36050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8">
        <v>46279</v>
      </c>
      <c r="B45" s="7" t="s">
        <v>250</v>
      </c>
      <c r="C45" s="7" t="s">
        <v>310</v>
      </c>
      <c r="D45" s="9">
        <v>100000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A46" s="8">
        <v>46279</v>
      </c>
      <c r="B46" s="7" t="s">
        <v>270</v>
      </c>
      <c r="C46" s="7" t="s">
        <v>311</v>
      </c>
      <c r="D46" s="9">
        <v>20180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A47" s="8">
        <v>46280</v>
      </c>
      <c r="B47" s="7" t="s">
        <v>250</v>
      </c>
      <c r="C47" s="7" t="s">
        <v>314</v>
      </c>
      <c r="D47" s="9">
        <v>30000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8">
        <v>46280</v>
      </c>
      <c r="B48" s="7" t="s">
        <v>250</v>
      </c>
      <c r="C48" s="11" t="s">
        <v>316</v>
      </c>
      <c r="D48" s="12">
        <v>10000</v>
      </c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>
        <v>46280</v>
      </c>
      <c r="B49" s="7" t="s">
        <v>250</v>
      </c>
      <c r="C49" s="7" t="s">
        <v>317</v>
      </c>
      <c r="D49" s="9">
        <v>44140</v>
      </c>
      <c r="E49" s="7"/>
      <c r="F49" s="7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>
        <v>46280</v>
      </c>
      <c r="B50" s="7" t="s">
        <v>250</v>
      </c>
      <c r="C50" s="11" t="s">
        <v>320</v>
      </c>
      <c r="D50" s="12">
        <v>40000</v>
      </c>
      <c r="E50" s="11"/>
      <c r="F50" s="7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F50">
    <sortCondition ref="E2:E50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ACCOUNT'!AC127</f>
        <v>18000</v>
      </c>
      <c r="C2" s="15">
        <f>B2*0.7</f>
        <v>12600</v>
      </c>
      <c r="D2" s="15"/>
      <c r="E2" s="16"/>
      <c r="F2" s="15">
        <f>$C$2-D2</f>
        <v>12600</v>
      </c>
    </row>
    <row r="3" spans="1:8" x14ac:dyDescent="0.25">
      <c r="A3" s="4" t="s">
        <v>229</v>
      </c>
      <c r="B3" s="15">
        <f>SUMIF('1ST TERM ACCOUNT'!T2:T126,6000)</f>
        <v>216000</v>
      </c>
      <c r="C3" s="15"/>
      <c r="D3" s="15"/>
      <c r="E3" s="16"/>
      <c r="F3" s="15">
        <f>$C$2-(D2+D3)</f>
        <v>12600</v>
      </c>
    </row>
    <row r="4" spans="1:8" x14ac:dyDescent="0.25">
      <c r="A4" s="4" t="s">
        <v>228</v>
      </c>
      <c r="B4" s="15">
        <f>B3-B2</f>
        <v>198000</v>
      </c>
      <c r="C4" s="15"/>
      <c r="D4" s="15"/>
      <c r="E4" s="16"/>
      <c r="F4" s="15">
        <f>$C$2-(D2+D3+D4)</f>
        <v>12600</v>
      </c>
    </row>
    <row r="5" spans="1:8" x14ac:dyDescent="0.25">
      <c r="B5" s="15"/>
      <c r="C5" s="15"/>
      <c r="D5" s="15"/>
      <c r="E5" s="16"/>
      <c r="F5" s="15">
        <f>$C$2-(D2+D3+D4+D5)</f>
        <v>12600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ACCOUNT'!AD127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ACCOUNT'!T2:T126,8000)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ACCOUNT'!AE127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ACCOUNT'!W2:W126)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2026-09-15T18:38:10Z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